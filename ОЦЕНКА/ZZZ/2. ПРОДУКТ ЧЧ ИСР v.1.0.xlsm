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08" codeName="{3D1A710C-6663-3D7B-7F91-EC182F24A4B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PerervaAD\Desktop\Проект СИЭР\ZZZ\"/>
    </mc:Choice>
  </mc:AlternateContent>
  <xr:revisionPtr revIDLastSave="0" documentId="13_ncr:1_{9FED5B5C-B07F-49F0-B1BB-7AA4F0350127}" xr6:coauthVersionLast="36" xr6:coauthVersionMax="47" xr10:uidLastSave="{00000000-0000-0000-0000-000000000000}"/>
  <bookViews>
    <workbookView xWindow="0" yWindow="0" windowWidth="28800" windowHeight="12225" firstSheet="2" activeTab="2" xr2:uid="{3B05C869-0A7D-4D0E-A18B-2C514B8C3F46}"/>
  </bookViews>
  <sheets>
    <sheet name="_ШАБЛОН" sheetId="16" r:id="rId1"/>
    <sheet name="КПГП ЭД 2_0 МПМ АИС ГИН (ПКНД)" sheetId="19" state="hidden" r:id="rId2"/>
    <sheet name="ПроектСИЭР v_0_5 АВТОМАТ" sheetId="29" r:id="rId3"/>
    <sheet name="Автор" sheetId="1" r:id="rId4"/>
  </sheets>
  <definedNames>
    <definedName name="_xlnm._FilterDatabase" localSheetId="1" hidden="1">'КПГП ЭД 2_0 МПМ АИС ГИН (ПКНД)'!$A$1:$Q$395</definedName>
    <definedName name="EST">'ПроектСИЭР v_0_5 АВТОМАТ'!$S$1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" i="29" l="1"/>
  <c r="U1" i="29" l="1"/>
  <c r="F12" i="29"/>
  <c r="F18" i="29"/>
  <c r="F22" i="29"/>
  <c r="F25" i="29"/>
  <c r="F49" i="29"/>
  <c r="F50" i="29"/>
  <c r="F55" i="29"/>
  <c r="F60" i="29"/>
  <c r="F65" i="29"/>
  <c r="I3" i="29" l="1"/>
  <c r="H3" i="29" s="1"/>
  <c r="H13" i="29"/>
  <c r="I13" i="29" s="1"/>
  <c r="H14" i="29" s="1"/>
  <c r="I14" i="29" s="1"/>
  <c r="H15" i="29" s="1"/>
  <c r="I15" i="29" s="1"/>
  <c r="H17" i="29" s="1"/>
  <c r="I17" i="29" s="1"/>
  <c r="H19" i="29" s="1"/>
  <c r="H20" i="29" s="1"/>
  <c r="I20" i="29" s="1"/>
  <c r="U42" i="29"/>
  <c r="U37" i="29"/>
  <c r="U36" i="29"/>
  <c r="S42" i="29"/>
  <c r="F42" i="29" s="1"/>
  <c r="F41" i="29" s="1"/>
  <c r="S36" i="29"/>
  <c r="F36" i="29" s="1"/>
  <c r="S33" i="29"/>
  <c r="F33" i="29" s="1"/>
  <c r="S25" i="29"/>
  <c r="T25" i="29" s="1"/>
  <c r="S12" i="29"/>
  <c r="T12" i="29" s="1"/>
  <c r="R37" i="29"/>
  <c r="S37" i="29" s="1"/>
  <c r="F37" i="29" s="1"/>
  <c r="R34" i="29"/>
  <c r="S34" i="29" s="1"/>
  <c r="F34" i="29" s="1"/>
  <c r="G34" i="29" s="1"/>
  <c r="F32" i="29" l="1"/>
  <c r="F11" i="29" s="1"/>
  <c r="F1" i="29" s="1"/>
  <c r="G36" i="29"/>
  <c r="F35" i="29"/>
  <c r="I19" i="29"/>
  <c r="H21" i="29" s="1"/>
  <c r="H29" i="29"/>
  <c r="H16" i="29"/>
  <c r="I16" i="29" s="1"/>
  <c r="G42" i="29"/>
  <c r="G37" i="29"/>
  <c r="G33" i="29"/>
  <c r="H51" i="29" l="1"/>
  <c r="I12" i="29"/>
  <c r="I4" i="29" s="1"/>
  <c r="H4" i="29" s="1"/>
  <c r="H12" i="29"/>
  <c r="G12" i="29" l="1"/>
  <c r="I29" i="29"/>
  <c r="I51" i="29" l="1"/>
  <c r="H53" i="29" l="1"/>
  <c r="I53" i="29" s="1"/>
  <c r="H52" i="29"/>
  <c r="I52" i="29" l="1"/>
  <c r="H54" i="29"/>
  <c r="I54" i="29" s="1"/>
  <c r="I50" i="29" l="1"/>
  <c r="H50" i="29"/>
  <c r="G50" i="29" l="1"/>
  <c r="H18" i="29"/>
  <c r="I21" i="29"/>
  <c r="H23" i="29" s="1"/>
  <c r="I23" i="29" l="1"/>
  <c r="I18" i="29"/>
  <c r="I5" i="29"/>
  <c r="H5" i="29" s="1"/>
  <c r="G18" i="29" l="1"/>
  <c r="H24" i="29"/>
  <c r="I24" i="29" l="1"/>
  <c r="H22" i="29"/>
  <c r="H26" i="29" l="1"/>
  <c r="I22" i="29"/>
  <c r="I6" i="29" l="1"/>
  <c r="H6" i="29" s="1"/>
  <c r="I26" i="29"/>
  <c r="G22" i="29"/>
  <c r="H27" i="29" l="1"/>
  <c r="I27" i="29" l="1"/>
  <c r="H30" i="29" l="1"/>
  <c r="I30" i="29" s="1"/>
  <c r="H31" i="29" s="1"/>
  <c r="I31" i="29" s="1"/>
  <c r="H33" i="29" s="1"/>
  <c r="H28" i="29"/>
  <c r="I28" i="29" l="1"/>
  <c r="I25" i="29" s="1"/>
  <c r="H25" i="29"/>
  <c r="I33" i="29"/>
  <c r="H56" i="29" l="1"/>
  <c r="H34" i="29"/>
  <c r="G25" i="29"/>
  <c r="I7" i="29"/>
  <c r="H7" i="29" s="1"/>
  <c r="I56" i="29" l="1"/>
  <c r="I34" i="29"/>
  <c r="H38" i="29" l="1"/>
  <c r="I38" i="29" s="1"/>
  <c r="H36" i="29"/>
  <c r="I32" i="29"/>
  <c r="H58" i="29"/>
  <c r="I58" i="29" s="1"/>
  <c r="H59" i="29" s="1"/>
  <c r="I59" i="29" s="1"/>
  <c r="H57" i="29"/>
  <c r="I57" i="29" l="1"/>
  <c r="I55" i="29" s="1"/>
  <c r="H55" i="29"/>
  <c r="I8" i="29"/>
  <c r="H8" i="29" s="1"/>
  <c r="I36" i="29"/>
  <c r="H37" i="29" l="1"/>
  <c r="G55" i="29"/>
  <c r="I37" i="29" l="1"/>
  <c r="H39" i="29" l="1"/>
  <c r="I39" i="29" l="1"/>
  <c r="H61" i="29" l="1"/>
  <c r="H40" i="29"/>
  <c r="I40" i="29" l="1"/>
  <c r="H35" i="29"/>
  <c r="I61" i="29"/>
  <c r="H63" i="29" l="1"/>
  <c r="I63" i="29" s="1"/>
  <c r="H64" i="29" s="1"/>
  <c r="I64" i="29" s="1"/>
  <c r="H62" i="29"/>
  <c r="H32" i="29"/>
  <c r="H42" i="29"/>
  <c r="I35" i="29"/>
  <c r="I9" i="29" l="1"/>
  <c r="H9" i="29" s="1"/>
  <c r="I42" i="29"/>
  <c r="G35" i="29"/>
  <c r="G32" i="29"/>
  <c r="H11" i="29"/>
  <c r="I62" i="29"/>
  <c r="I60" i="29" s="1"/>
  <c r="H60" i="29"/>
  <c r="H68" i="29" l="1"/>
  <c r="I68" i="29" s="1"/>
  <c r="H69" i="29"/>
  <c r="I69" i="29" s="1"/>
  <c r="H67" i="29"/>
  <c r="I67" i="29" s="1"/>
  <c r="H66" i="29"/>
  <c r="H43" i="29"/>
  <c r="G60" i="29"/>
  <c r="H65" i="29" l="1"/>
  <c r="I66" i="29"/>
  <c r="I65" i="29" s="1"/>
  <c r="I49" i="29" s="1"/>
  <c r="G49" i="29" s="1"/>
  <c r="I43" i="29"/>
  <c r="H44" i="29" l="1"/>
  <c r="G65" i="29"/>
  <c r="I44" i="29" l="1"/>
  <c r="H45" i="29" l="1"/>
  <c r="I45" i="29" l="1"/>
  <c r="H46" i="29" l="1"/>
  <c r="I46" i="29" l="1"/>
  <c r="H47" i="29" l="1"/>
  <c r="I47" i="29" s="1"/>
  <c r="H48" i="29" s="1"/>
  <c r="I48" i="29" l="1"/>
  <c r="I41" i="29" s="1"/>
  <c r="H41" i="29"/>
  <c r="G41" i="29" l="1"/>
  <c r="I10" i="29"/>
  <c r="H10" i="29" s="1"/>
  <c r="I11" i="29"/>
  <c r="I2" i="29" l="1"/>
  <c r="G11" i="29"/>
  <c r="G1" i="29" s="1"/>
  <c r="G2" i="29" l="1"/>
  <c r="I1" i="2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Перерва Андрей Дмитриевич</author>
  </authors>
  <commentList>
    <comment ref="S1" authorId="0" shapeId="0" xr:uid="{31ED5076-B402-4632-839C-12C7ED8B830D}">
      <text>
        <r>
          <rPr>
            <b/>
            <sz val="9"/>
            <color indexed="81"/>
            <rFont val="Tahoma"/>
            <family val="2"/>
            <charset val="204"/>
          </rPr>
          <t>Перерва Андрей Дмитриевич:</t>
        </r>
        <r>
          <rPr>
            <sz val="9"/>
            <color indexed="81"/>
            <rFont val="Tahoma"/>
            <family val="2"/>
            <charset val="204"/>
          </rPr>
          <t xml:space="preserve">
2022 4 мес 5 чк
2023 6 мес 7 чк 6 мес 9 чк
2024 6 мес 15 чк
ЭД 10% 3081,7
МД 25% 7704,25
НПФ 5% 1540,85
КСИЭР 25% 7704,25
МПМ 35% 10785,95
ИТОГО 30817
</t>
        </r>
      </text>
    </comment>
  </commentList>
</comments>
</file>

<file path=xl/sharedStrings.xml><?xml version="1.0" encoding="utf-8"?>
<sst xmlns="http://schemas.openxmlformats.org/spreadsheetml/2006/main" count="2043" uniqueCount="737">
  <si>
    <t>ID</t>
  </si>
  <si>
    <t>Длительность, дн.</t>
  </si>
  <si>
    <t>Дата начала</t>
  </si>
  <si>
    <t>Дата окончания</t>
  </si>
  <si>
    <t>Предшественник</t>
  </si>
  <si>
    <t>Последователь</t>
  </si>
  <si>
    <t>Названия ресурсов</t>
  </si>
  <si>
    <t>ВЕХИ</t>
  </si>
  <si>
    <t>Команда обучена</t>
  </si>
  <si>
    <t>ФТ детализированы</t>
  </si>
  <si>
    <t>Концепция решения продумана и опробована</t>
  </si>
  <si>
    <t>Достижимость дедлайна разработки Модуля Мероприятий на ПКНД на 12.2022</t>
  </si>
  <si>
    <t>Реализованы технические сервисы платформы</t>
  </si>
  <si>
    <t>Фокус группа по релизу проведена</t>
  </si>
  <si>
    <t>Критерии приемки 1 этапа</t>
  </si>
  <si>
    <t>Реализован / адаптирован БП видов мероприятий для имитационного моделирования</t>
  </si>
  <si>
    <t>Выездное обследование</t>
  </si>
  <si>
    <t>Осмотр ОНФ</t>
  </si>
  <si>
    <t>Плановая выездная поверка</t>
  </si>
  <si>
    <t>Плановый рейдовый осмотр</t>
  </si>
  <si>
    <t>Инспекционный визит</t>
  </si>
  <si>
    <t>Внеплановая выездная проверка</t>
  </si>
  <si>
    <t>Внеплановый рейдовый осмотр</t>
  </si>
  <si>
    <t>Профилактический визит</t>
  </si>
  <si>
    <t>Внутренняя задача</t>
  </si>
  <si>
    <t>Объявление предостережения</t>
  </si>
  <si>
    <t>Функциональное мероприятие</t>
  </si>
  <si>
    <t>Внеплановая документарная проверка</t>
  </si>
  <si>
    <t>Документарная проверка</t>
  </si>
  <si>
    <t>Основной БП проведения мероприятий</t>
  </si>
  <si>
    <t>Реализован автоматический режим создания мероприятия</t>
  </si>
  <si>
    <t>Реализован ручной режим создания мероприятия</t>
  </si>
  <si>
    <t>Реализованы шаги по проведению мероприятия</t>
  </si>
  <si>
    <t>Реализованы шаги по определению нарушений</t>
  </si>
  <si>
    <t>Реализованы экранные формы шагов БП</t>
  </si>
  <si>
    <t>Реализованы экранные формы Проверочного списка (чек листа)</t>
  </si>
  <si>
    <t>Реализованы экранные формы по автоматическому определению нарушений -  список нарушений формируется на этапе проведения мероприятия при заполнении чек-листов</t>
  </si>
  <si>
    <t>Реализована функция формирования пакета результирующих документов (на основании шаблонов электронных документов)</t>
  </si>
  <si>
    <t>Реализованы экранные формы для юзабилити тестирования</t>
  </si>
  <si>
    <t>Основные данные КНМ (первая ЭФ)</t>
  </si>
  <si>
    <t>Успенский Михаил;</t>
  </si>
  <si>
    <t>Уточнение параметров КНМ</t>
  </si>
  <si>
    <t>Регистрация жалобы</t>
  </si>
  <si>
    <t>Астрашабов Игорь;</t>
  </si>
  <si>
    <t>Запрос на полет БПЛА</t>
  </si>
  <si>
    <t>Парыгин Даниил;</t>
  </si>
  <si>
    <t>Внесение итогов рассмотрения жалобы</t>
  </si>
  <si>
    <t>Уведомление субъекта о КНМ</t>
  </si>
  <si>
    <t>Зафиксировать начало КНМ</t>
  </si>
  <si>
    <t>Проведение КНМ</t>
  </si>
  <si>
    <t>Подготовка итоговых документов</t>
  </si>
  <si>
    <t>Лунева Ирина;</t>
  </si>
  <si>
    <t>Подписание ЭД КНМ инспектором</t>
  </si>
  <si>
    <t>Верификация КНМ + подписание ДЛ</t>
  </si>
  <si>
    <t>Афоян Тигран;</t>
  </si>
  <si>
    <t>Замечания по КНМ</t>
  </si>
  <si>
    <t>Реализованы печатные формы  для юзабилити тестирования</t>
  </si>
  <si>
    <t>Протокол осмотра территории</t>
  </si>
  <si>
    <t>Акт выездного обследования</t>
  </si>
  <si>
    <t>Нарубина Светлана;</t>
  </si>
  <si>
    <t>Решение о выдаче рекомендации</t>
  </si>
  <si>
    <t>Рекомендация</t>
  </si>
  <si>
    <t>Протокол инструментального обследования</t>
  </si>
  <si>
    <t>Акты по 819-ПП (о выявлении/присечении/отсутствии самостроя)</t>
  </si>
  <si>
    <t>Рапорт по 234-ПП (частная собственность)</t>
  </si>
  <si>
    <t>Акт обследования по 614-ПП (некапитальные объекты)</t>
  </si>
  <si>
    <t>Акт осмотра нежилого помещения (здания)</t>
  </si>
  <si>
    <t>Лист ознакомления с результатами осмотра нежилого помещения (здания)</t>
  </si>
  <si>
    <t>Фотофиксация</t>
  </si>
  <si>
    <t>Акт о невозможности проведения</t>
  </si>
  <si>
    <t>Реализованы технологические сервисы</t>
  </si>
  <si>
    <t>Реализован механизм уведомлений пользователя о создании/ изменении мероприятия</t>
  </si>
  <si>
    <t>Реализован механизм отправки субъекту решения о проведении мероприятия</t>
  </si>
  <si>
    <t>Сервис автоматического периодического обновления основных справочников через API-шлюз АИС ГИН ПКНД</t>
  </si>
  <si>
    <t>Задач (для ручного создания мероприятия)</t>
  </si>
  <si>
    <t>Тематика задач</t>
  </si>
  <si>
    <t>Вид мероприятия</t>
  </si>
  <si>
    <t>Список источников задачи</t>
  </si>
  <si>
    <t>Цели задачи</t>
  </si>
  <si>
    <t>Статусы задачи</t>
  </si>
  <si>
    <t>Web-сервисы обработки входящих запросов от АИС ГИН МС</t>
  </si>
  <si>
    <t>Сервис обработки запроса на создание нового мероприятия</t>
  </si>
  <si>
    <t>Сервис обновления документа основания на проведение мероприятия</t>
  </si>
  <si>
    <t>API-шлюз  АИС ГИН ПКНД отправка запросов и получение ответов от МП API АИС ГИН МС (до момента реализации и готовности - Эмулятор)</t>
  </si>
  <si>
    <t>Запрос данных АИС ГИН МС с вызовом из БП</t>
  </si>
  <si>
    <t>Запрос данных АИС ГИН МС с вызовом XSLT Запросами из Дела</t>
  </si>
  <si>
    <t>Создание новой задачи в результате проведения мероприятия</t>
  </si>
  <si>
    <t>РЕЛИЗЫ и ПРИЕМКИ</t>
  </si>
  <si>
    <t>Релиз 1.0</t>
  </si>
  <si>
    <t>Начало 2023</t>
  </si>
  <si>
    <t>Иммитационное моделирование и юзабилити тестирование Функционального прототипа</t>
  </si>
  <si>
    <t>12;77</t>
  </si>
  <si>
    <t xml:space="preserve">Стабилизация </t>
  </si>
  <si>
    <t>Перерва Андрей;</t>
  </si>
  <si>
    <t>Релиз под ОПЭ</t>
  </si>
  <si>
    <t>81ОН-5 дней</t>
  </si>
  <si>
    <t xml:space="preserve">Обучение </t>
  </si>
  <si>
    <t>ОПЭ</t>
  </si>
  <si>
    <t>Красильников Сергей;</t>
  </si>
  <si>
    <t>Павленко Денис;</t>
  </si>
  <si>
    <t>- реализовать алгоритм по передачи данных камеральных проверок;</t>
  </si>
  <si>
    <t>Чупин Алексей;</t>
  </si>
  <si>
    <t>Модуль Мероприятия (Платформа)</t>
  </si>
  <si>
    <t>Детализация ФТ</t>
  </si>
  <si>
    <t>3ОН+7 дней</t>
  </si>
  <si>
    <t>Определить базовую функциональность (д.б. реализована до 12.22)</t>
  </si>
  <si>
    <t>Приоритетные ВИ</t>
  </si>
  <si>
    <t>UCM модуль Мероприятие</t>
  </si>
  <si>
    <t xml:space="preserve">КМД ЕРО и ЕРС </t>
  </si>
  <si>
    <t>UCM Модулей РОС + Камеральный анализ ПРЕДВАРИТЕЛЬНЫЙ АНАЛИЗ</t>
  </si>
  <si>
    <t>Бекренев Александр;</t>
  </si>
  <si>
    <t xml:space="preserve">UCM Планирование /  Нагрузка </t>
  </si>
  <si>
    <t>Коровиков Дмитрий;</t>
  </si>
  <si>
    <t xml:space="preserve">Ревю UCM </t>
  </si>
  <si>
    <t>UCM Нагрузка</t>
  </si>
  <si>
    <t>UCM ЭД</t>
  </si>
  <si>
    <t>UCM Модулей РОС +  КМД</t>
  </si>
  <si>
    <t>UCM Нагрузка v.2</t>
  </si>
  <si>
    <t>UCM БПЛА (в части Мероприятий детально)</t>
  </si>
  <si>
    <t>UCM БПЛА v.2.0</t>
  </si>
  <si>
    <t>Модуль Судебного производства (Платформа)</t>
  </si>
  <si>
    <t>UCM v.1.0</t>
  </si>
  <si>
    <t>UCM v.2.0</t>
  </si>
  <si>
    <t>Ревю UCM МСП</t>
  </si>
  <si>
    <t>Модуль Административного производства (Платформа)</t>
  </si>
  <si>
    <t>UCM МП</t>
  </si>
  <si>
    <t>Модуль создания РГ и Комиссий</t>
  </si>
  <si>
    <t>Концепция архитектуры решения Модуля Мероприятия на ПКНД (материалы)</t>
  </si>
  <si>
    <t xml:space="preserve">Концепция Архитектуры Решения </t>
  </si>
  <si>
    <t>Концепция Архитектуры Решения 2.0</t>
  </si>
  <si>
    <t>Техническое задание на доработки API МС (материалы)</t>
  </si>
  <si>
    <t>Техническое задание на доработки API МС</t>
  </si>
  <si>
    <t>Быстрый прототип v.1.0</t>
  </si>
  <si>
    <t>Задача автогенерация мероприятия (Ждать вызова "создание мероприятия по задаче")</t>
  </si>
  <si>
    <t xml:space="preserve">Основной БП :: КАРКАС :: Создание мероприятия </t>
  </si>
  <si>
    <t>API быстрого прототипа готово</t>
  </si>
  <si>
    <t>Доработки API МС АИС ГИН (ОТ)</t>
  </si>
  <si>
    <t>старт разработки</t>
  </si>
  <si>
    <t>API списка объектов</t>
  </si>
  <si>
    <t>Релиз менеджер;</t>
  </si>
  <si>
    <t>API списка субъектов</t>
  </si>
  <si>
    <t>API всех атрибутов Объекта по ИД Объекта</t>
  </si>
  <si>
    <t>API всех атрибутов Субъекта по ИД Субъекта</t>
  </si>
  <si>
    <t>API связь Субъекта и Объекта и правоустанавливающих документов</t>
  </si>
  <si>
    <t>API списка задач</t>
  </si>
  <si>
    <t>API всех атрибутов Задачаи по ИД Задачи</t>
  </si>
  <si>
    <t>API всех справочников в АИС ГИН</t>
  </si>
  <si>
    <t>API создания задачи в МС Модуль Планирования из СИЭР</t>
  </si>
  <si>
    <t>Концепция ролевых ограничений</t>
  </si>
  <si>
    <t>Контроль за готовностью МС и их соответствию нашим требованиям</t>
  </si>
  <si>
    <t>Балацкий Жан;</t>
  </si>
  <si>
    <t xml:space="preserve">Технические сервисы Camunda </t>
  </si>
  <si>
    <t>6ОН+5 дней;58</t>
  </si>
  <si>
    <t>Автоматическое обновление справочников из АИС ГИН в СИЭР</t>
  </si>
  <si>
    <t>Задачи</t>
  </si>
  <si>
    <t>Задачи :: Отладка с интеграцией в БП в.0.1</t>
  </si>
  <si>
    <t>Справочник Объектов / Субъектов через API / Excel</t>
  </si>
  <si>
    <t>Выгрузка/загрузка реестра объектов в/из XLSX (Получить список объектов по ID задачи + Получить список субъектов по ID задачи)</t>
  </si>
  <si>
    <t>Справочник "Объекты" автообновление</t>
  </si>
  <si>
    <t>"Самострой" - API прокинуть для выгрузки вовне</t>
  </si>
  <si>
    <t>Субъекты</t>
  </si>
  <si>
    <t>Источник задачи</t>
  </si>
  <si>
    <t>Тематика мероприятия</t>
  </si>
  <si>
    <t>Цель мероприятия</t>
  </si>
  <si>
    <t>Признаки нарушений</t>
  </si>
  <si>
    <t>Статьи КОАП</t>
  </si>
  <si>
    <t>Справочник сотрудников через API / Excel / Глобальный справочник</t>
  </si>
  <si>
    <t xml:space="preserve">СИЭР :: Добавление сотрудников в КНМ </t>
  </si>
  <si>
    <t>161НН</t>
  </si>
  <si>
    <t xml:space="preserve">СИЭР :: Добавление подразделенгий в КНМ </t>
  </si>
  <si>
    <t xml:space="preserve">СИЭР :: Добавление справочника "функционала" в КНМ </t>
  </si>
  <si>
    <t xml:space="preserve">СИЭР :: Добавление справочника должностей в КНМ </t>
  </si>
  <si>
    <t>СИЭР :: Функционально-штатная расстановка</t>
  </si>
  <si>
    <t>API доступа к внутренним сущностям СИЭР и их связям</t>
  </si>
  <si>
    <t>Тех.сервисы v.1.0</t>
  </si>
  <si>
    <t xml:space="preserve"> Вызов внешнего API из БП используя стандартный механизм формирования запроса в XSL :: Задача чтение атрибутов задач ( ВИ  "API-Получить данные по задаче")</t>
  </si>
  <si>
    <t>Контроллер управления статусами задач для всех вариантов обновления данных извне (wsdl, автообновление, точечный API-вызов, контроль в ЭФ)</t>
  </si>
  <si>
    <t>wsdl на изменение статуса задачи</t>
  </si>
  <si>
    <t>КРИТИЧНО ДЛЯ 1 РЕЛИЗА</t>
  </si>
  <si>
    <t>Рефакторинг</t>
  </si>
  <si>
    <t>Контроллер входящих (создать мероприятие + изменить атрибуты)</t>
  </si>
  <si>
    <t>Автоматическое создание мероприятия (rest api)  :: Полный функционал</t>
  </si>
  <si>
    <t>Автозагрузка справочников (задачи) :: Полный функционал</t>
  </si>
  <si>
    <t>Универсальный XSLT запрос к МП АИС ГИН МС   :: Полный функционал</t>
  </si>
  <si>
    <t>Создание задачи из СИЭР в МП АИС ГИН МС</t>
  </si>
  <si>
    <t>Справочник Объектов финализация</t>
  </si>
  <si>
    <t>Получение документа основания на проведение мероприятие</t>
  </si>
  <si>
    <t xml:space="preserve">Уведомления </t>
  </si>
  <si>
    <t>Отправка e-mail :: Уведомление пользователей об изменениях в системе (ВИ "Уведомить ответственных пользователей о создании Мероприятия" )</t>
  </si>
  <si>
    <t>Отправка субъекту решения о проведении мероприятия (имейл + Почта России)</t>
  </si>
  <si>
    <t>Требования к интеграции с Почтой РФ</t>
  </si>
  <si>
    <t>Реализация интеграции с Почтой РФ</t>
  </si>
  <si>
    <t>Уточнить требования к интеграции с АИС ОИВ</t>
  </si>
  <si>
    <t xml:space="preserve">Эмулятор МП АИС ГИН (МС) </t>
  </si>
  <si>
    <t>Интеграция с МП АИС ГИН (МС) + АИС ОИВ + МобП</t>
  </si>
  <si>
    <t>Передача данных в ЕРКНМ (уточнить у Чупина)</t>
  </si>
  <si>
    <t>Интеграция с РЕОН</t>
  </si>
  <si>
    <t>Отправка данных на портал "Наш город"</t>
  </si>
  <si>
    <t>Отправка данных в ВИС</t>
  </si>
  <si>
    <t>Мобильное приложение отправка и получение сведений по мероприятию</t>
  </si>
  <si>
    <t>Концепция реализации синхронизации МП</t>
  </si>
  <si>
    <t>- реализовать интеграционное взаимодействие с АИС ГИН в части получения и отправки сведений о мероприятии;</t>
  </si>
  <si>
    <t>Angular &amp; JAVA</t>
  </si>
  <si>
    <t>Поиск и найм разработчика</t>
  </si>
  <si>
    <t>Подготовка требований к карточке мероприятия</t>
  </si>
  <si>
    <t xml:space="preserve">Навигационно-поисковая Карточка список мероприятий </t>
  </si>
  <si>
    <t>Каркас приложения "Навигационно-поисковая Карточка список мероприятий "</t>
  </si>
  <si>
    <t>Проектирование UI/UX + ФОКУС ГРУППА</t>
  </si>
  <si>
    <t>Создание back-end v.1.0 с API</t>
  </si>
  <si>
    <t>Список мероприятий</t>
  </si>
  <si>
    <t>Субъект</t>
  </si>
  <si>
    <t>Карта</t>
  </si>
  <si>
    <t>Объекты (в т.ч. фото-видео)</t>
  </si>
  <si>
    <t>Камеральные проверки</t>
  </si>
  <si>
    <t>Управлять списком административных дел</t>
  </si>
  <si>
    <t>Управлять списком судебных дел</t>
  </si>
  <si>
    <t>Дизайн UI</t>
  </si>
  <si>
    <t>Дизайнер;</t>
  </si>
  <si>
    <t xml:space="preserve">Создание прототипа </t>
  </si>
  <si>
    <t>ФРОНТ;</t>
  </si>
  <si>
    <t>UC стабилизация</t>
  </si>
  <si>
    <t>Реализация функциональности модуля Мероприятия</t>
  </si>
  <si>
    <t>Критерии приемки на основании перечня базовой функциональности v.0.1</t>
  </si>
  <si>
    <t>Этап 1. Основные БП из базовой функциональности. Wireframe приложения.</t>
  </si>
  <si>
    <t xml:space="preserve">Основной БП :: Создание мероприятия </t>
  </si>
  <si>
    <t>Основной БП :: проведение Мероприяти :: Компоненты готовы</t>
  </si>
  <si>
    <t>СОГЛАСОВАНИЕ (- автоматическое формирование электронных документов Мероприятия по результату подписания документов на основания проведения Мероприятия;)</t>
  </si>
  <si>
    <t>Основной БП :: проведение Мероприятия :: Сборка версии</t>
  </si>
  <si>
    <t>Вариативность БП в зависимости от видов мероприятия и видов объектов</t>
  </si>
  <si>
    <t>Согласование БП с вариативностью с ФЗ</t>
  </si>
  <si>
    <t xml:space="preserve">Интеграция с ВИС </t>
  </si>
  <si>
    <t>Интеграция с ВИС :: Создать документ Внутреннее мероприятие  и т.п.</t>
  </si>
  <si>
    <t>ЭФ</t>
  </si>
  <si>
    <t>Экранная форма Запрос на облет БПЛА</t>
  </si>
  <si>
    <t>Экранные формы по регистрации и обработки жалобы субъекта</t>
  </si>
  <si>
    <t>Успенский Михаил;Афоян Тигран;</t>
  </si>
  <si>
    <t>244НН</t>
  </si>
  <si>
    <t>Нарубина Светлана;Лунева Ирина;</t>
  </si>
  <si>
    <t>ПФ</t>
  </si>
  <si>
    <t>Создание акта о проведенном мероприятии</t>
  </si>
  <si>
    <t>Печатные формы в соответствии с оригинально используемыми формами</t>
  </si>
  <si>
    <t>ПОЛЯ С ПЕРЕМЕННЫМИ (Акт о проведении :: Место составления акта и т.п.)</t>
  </si>
  <si>
    <t>Разработка печатной формы проверочного листа</t>
  </si>
  <si>
    <t>Фокус группы</t>
  </si>
  <si>
    <t>7ОН+22 дней</t>
  </si>
  <si>
    <t>Администрирование и управление МПМ</t>
  </si>
  <si>
    <t>Настройки АИС ГИН</t>
  </si>
  <si>
    <t>Критерии приемки на основании рабочего прототипа v.1.0</t>
  </si>
  <si>
    <t>Донастройка и тюнинг БП и реализации</t>
  </si>
  <si>
    <t>ГОТОВНОСТЬ МИКРОСЕРВИСОВ</t>
  </si>
  <si>
    <t>Ведение реестра субъектов (Микросервис)</t>
  </si>
  <si>
    <t>- реализовать интеграционное взаимодействие с Платформой в части субъектов;</t>
  </si>
  <si>
    <t>Распределение нагрузки между структурными подразделениями и сотрудниками (Микросервис)</t>
  </si>
  <si>
    <t>- реализовать алгоритмы по распределению Задач между структурными подразделениями ГИН;</t>
  </si>
  <si>
    <t>- реализовать алгоритмы по распределению Задач между сотрудниками ГИН;</t>
  </si>
  <si>
    <t>- реализовать алгоритмы по автоматической генерация задач на проведение мероприятий;</t>
  </si>
  <si>
    <t>- реализовать алгоритмы автоматического определения дат проведения мероприятий;</t>
  </si>
  <si>
    <t>- реализовать алгоритмы автоматической генерация заданий и поручений;</t>
  </si>
  <si>
    <t>- реализовать алгоритмы автоматического построения маршрута инспекторского состава ГИН.</t>
  </si>
  <si>
    <t>Ведение реестра объектов (Микросервис) - реализовать экранные формы по объектам и реестрам ЗУ, зданиям/сооружениям помещениям, ЛК и НТО</t>
  </si>
  <si>
    <t>- реализовать интеграционное взаимодействия с Платформой в части объектов;</t>
  </si>
  <si>
    <t>Формирование и ведение задач, годового плана (Микросервис)</t>
  </si>
  <si>
    <t>Передача данных из Модулей Камерального анализа и Управление полетами БПЛА в Платформу</t>
  </si>
  <si>
    <t>Доработка реестра объектов в части ведения ОСС (Микросервис)</t>
  </si>
  <si>
    <t>- реализовать алгоритмы автоматического создания карточек объектов СС по результатам проведения мероприятий;</t>
  </si>
  <si>
    <t>- реализовать сценарии и бизнес-процессы добавления сведений по РГ;</t>
  </si>
  <si>
    <t>- реализовать интеграционное взаимодействие с модулем демонтажа.</t>
  </si>
  <si>
    <t>Создание Мобильного приложения инспектора</t>
  </si>
  <si>
    <t>- реализовать экранные формы для мобильных устройств;</t>
  </si>
  <si>
    <t>- реализовать интеграционное взаимодействие с АИС ГИН в части получения и отправки материалов (документ, фото\скан или видео) по мероприятию;</t>
  </si>
  <si>
    <t>- реализовать сценарии и бизнес-процессы по проведению мероприятия для мобильных устройств;</t>
  </si>
  <si>
    <t>- реализовать представления по истории действий инспектора в МП.</t>
  </si>
  <si>
    <t>Модуль БПЛА (Микросервис) развитие</t>
  </si>
  <si>
    <t>Модуль Наш Город (Микросервис)</t>
  </si>
  <si>
    <t>Реализация функционала ОФИ (Микросервис)</t>
  </si>
  <si>
    <t xml:space="preserve">3. Административное производство  </t>
  </si>
  <si>
    <t xml:space="preserve">Доработка шаблона Постановления 20.25  - реализовать шаблоны "Постановлений о прекращении производства по делу 20.25" в АИС ГИН: Дело АП - Карточка Дела 20.25. Данные переписки по делу 20.25. </t>
  </si>
  <si>
    <t xml:space="preserve">Дебиторская задолженность в УАИС БУ  - корректировка логики начислений; - корректировка атрибутивного состава и контрольных точек синхронизации данных; - единый формат и структура данных АИС ГИН И УАИС БУ; - автоматическая сверка сведений с формированием </t>
  </si>
  <si>
    <t xml:space="preserve">Направление дела АП мировым судьям и получение статусов </t>
  </si>
  <si>
    <t xml:space="preserve">5. Демонтаж </t>
  </si>
  <si>
    <t>Корректировка логики процесса демонтажа по 819-ПП (прил. 2) - расширить доступный в настоящее время перечень категорий документов значением "Рапорт/Акт о проведении мероприятия"; - в карточках мероприятия с тематикой "Подтверждение демонтажа (819-ПП, прил</t>
  </si>
  <si>
    <t>Расширение логики процесса демонтажа по 234-ПП - добавить тематику: "Подтверждение демонтажа (234-ПП); - запуск бизнес процесса по взысканию, в рамках основания демонтажа (234 -ПП); - добавить новый справочник "Тип демонтажа"; - корректировка ФЛК при ручн</t>
  </si>
  <si>
    <t>Расширение логики процесса демонтажа по "Угрозе"  - добавить тематику: "Подтверждение демонтажа (Угроза); - запуск бизнес процесса по взысканию, в рамках основания демонтажа (Угроза); - добавить новый справочник "Тип демонтажа"; - корректировка ФЛК при ру</t>
  </si>
  <si>
    <t>Демонтаж летних кафе - реализация бизнес-процесса по демонтажу летних кафе в АИС ГИН; - доработка блока проверок/ обследований в АИС ГИН: добавление результата "Сохранен на зимний период" и поля "выявлено с помощью камер видеонаблюдения" Да/Нет; - доработ</t>
  </si>
  <si>
    <t>Согласование отчетной документации по демонтажу ответственными сотрудниками ГБУ и ГИН - расширение существующих в АИС ГИН бизнес-процессов по демонтажу этапами по согласованию отчетной документации; - доработка системы уведомления пользователей; - автомат</t>
  </si>
  <si>
    <t>ДЕДЛАЙНЫ СИЭР</t>
  </si>
  <si>
    <t>Проведение инспекторским составом мероприятий ГИН (Платформа)</t>
  </si>
  <si>
    <t>- реализовать экранные формы карточек мероприятий;</t>
  </si>
  <si>
    <t>- реализовать алгоритмы по автоматическому формированию электронных документов "мероприятия";</t>
  </si>
  <si>
    <t>- реализовать сценарии и бизнес-процессы по проведению мероприятий;</t>
  </si>
  <si>
    <t>- реализовать экранные формы работа с Проверочными листами;</t>
  </si>
  <si>
    <t>- фиксация сотрудниками ГИН результатов проведения мероприятия; (результирующие документы)</t>
  </si>
  <si>
    <t>- реализовать алгоритмы автоматического определение нарушений;</t>
  </si>
  <si>
    <t>- реализовать создание новой задачи в резудьтате проведения мероприятия (доп1)</t>
  </si>
  <si>
    <t>- реализовать сценарии и бизнес-процессы по ручному формированию электронных документов "мероприятия";</t>
  </si>
  <si>
    <t>- реализовать алгоритмы мониторинга актуальности данных субъекта и объекта;</t>
  </si>
  <si>
    <t>- реализовать сценарии и бизнес-процессы заполнение Проверочного листа;</t>
  </si>
  <si>
    <t>- реализовать сценарии и бизнес-процессы по фиксации сотрудниками ГИН результатов проведения мероприятия;</t>
  </si>
  <si>
    <t>-реализовать алгоритмы по актуализации данных реестра результатов проведения мероприятия;</t>
  </si>
  <si>
    <t>- реализовать интеграционное взаимодействие по отправке данных в ЕРКНМ;- реализовать алгоритмы и экранные формы по формированию отчетных документов и презентаций.</t>
  </si>
  <si>
    <t>Перевод функционала демонтажа Объектов на Платформу</t>
  </si>
  <si>
    <t>Перевод функционала по ведению административного производства на Платформу</t>
  </si>
  <si>
    <t>Создание модуля по проведению рабочих групп и комиссий (Платформа)</t>
  </si>
  <si>
    <t>– управление деятельностью межведомственных и простых РГ;</t>
  </si>
  <si>
    <t>– организация и проведение Заседаний РГ с созданием Повесток Заседания РГ;</t>
  </si>
  <si>
    <t>– централизованное управление информацией;</t>
  </si>
  <si>
    <t>– управление ДК по реализации решений заседаний РГ и по Объектам;</t>
  </si>
  <si>
    <t>– возможность типизации: Решений РГ, Поручений РГ, Вопросов РГ;</t>
  </si>
  <si>
    <t>– проведение видеоконференции;</t>
  </si>
  <si>
    <t>– ведение истории рассмотрения Объекта;</t>
  </si>
  <si>
    <t>– формирование отчетных документов и презентаций по данным РГ.</t>
  </si>
  <si>
    <t xml:space="preserve">Модуль BI Отчетов "Кабинет руководителя" (Платформа) </t>
  </si>
  <si>
    <t>Реализация функционала по проведению камеральных проверок по летним кафе и НТО (Платформа)</t>
  </si>
  <si>
    <t>Обмен данными между Excel и Project - VBA - Киберфорум (cyberforum.ru)</t>
  </si>
  <si>
    <t>100ОН+7 дней</t>
  </si>
  <si>
    <t>145ОН+5 дней</t>
  </si>
  <si>
    <t>263ОН+22 дней</t>
  </si>
  <si>
    <t>79;76</t>
  </si>
  <si>
    <t>22;79</t>
  </si>
  <si>
    <t>82ОН-5 дней</t>
  </si>
  <si>
    <t>102;120</t>
  </si>
  <si>
    <t>126;124</t>
  </si>
  <si>
    <t>133;127</t>
  </si>
  <si>
    <t>134;139;143</t>
  </si>
  <si>
    <t>154;168</t>
  </si>
  <si>
    <t>154;178</t>
  </si>
  <si>
    <t>147;149;151;153</t>
  </si>
  <si>
    <t>162НН</t>
  </si>
  <si>
    <t>163НН;164НН;165НН</t>
  </si>
  <si>
    <t>177;187</t>
  </si>
  <si>
    <t>175;176;174</t>
  </si>
  <si>
    <t>181ОН-5 дней</t>
  </si>
  <si>
    <t>176ОН-5 дней</t>
  </si>
  <si>
    <t>166;172</t>
  </si>
  <si>
    <t>218;194</t>
  </si>
  <si>
    <t>193;189</t>
  </si>
  <si>
    <t>211ОН-5 дней</t>
  </si>
  <si>
    <t>210;202</t>
  </si>
  <si>
    <t>197ОН-5 дней;199;210</t>
  </si>
  <si>
    <t>218;219;220</t>
  </si>
  <si>
    <t>222;225</t>
  </si>
  <si>
    <t>4;226;234;239;232;253;227</t>
  </si>
  <si>
    <t>245НН</t>
  </si>
  <si>
    <t>248;249</t>
  </si>
  <si>
    <t>258;259;263</t>
  </si>
  <si>
    <t>262;261</t>
  </si>
  <si>
    <t>265;201</t>
  </si>
  <si>
    <t>Этап 3. Стабилизация. UI/UX. Рабочая версия приложения.</t>
  </si>
  <si>
    <t>Этап 4. ОПЭ</t>
  </si>
  <si>
    <t>ОТ - реализовать интеграционное взаимодействие с Платформой;</t>
  </si>
  <si>
    <t>ОТ - реализовать алгоритм по передачи данных полетов БПЛА.</t>
  </si>
  <si>
    <t>% готовности</t>
  </si>
  <si>
    <t>156ОН+7 дней</t>
  </si>
  <si>
    <t>Реализованы технические сервисы платформы 1 очереди</t>
  </si>
  <si>
    <t>292ОН+5 дней</t>
  </si>
  <si>
    <t>Критерии приемки полнофункционального прототипа</t>
  </si>
  <si>
    <t>Реализованы Технические Сервисы по расширению функциональности СИЭР (1 Этап - Первоочередные сервисы)</t>
  </si>
  <si>
    <t xml:space="preserve">4.  Сервис запросов по получению данных извне на конкретном шаге БП </t>
  </si>
  <si>
    <t>2.  Создать мероприятие извне</t>
  </si>
  <si>
    <t>3.  Изменить мероприятие извне</t>
  </si>
  <si>
    <t>1.  Автоматическое обновление справочников (обновляет 4 основных справочника)</t>
  </si>
  <si>
    <t xml:space="preserve">5.  Универсальный технологический сервис автоматизированного формирования запросов по шаблону XSLT по получению данных извне системным аналитиком СИЕР на конкретном шаге БП </t>
  </si>
  <si>
    <t>6.  Универсальный технологический сервис автоматизированного формирования запросов по шаблону XSLT по получению данных извне системным аналитиком СИЕР из Экранной формы</t>
  </si>
  <si>
    <t>7. Сервис уведомлений СИЭР (по email, push в ЛК СИЭР, telegram push) для назначенных исполнителей на задачу v.0.1</t>
  </si>
  <si>
    <t>Экранные формы, необходимые для проведения Выездного обледования/ Осмотра ОНФ/ Выездной проверки / Рейдового осмотра / Инспекционного визита</t>
  </si>
  <si>
    <t>27ОО;41</t>
  </si>
  <si>
    <t>D:\Downloads\ДК 2023 ++ v,0.11111111111111111111.mpp\264ОО;D:\ЯДиск\YandexDisk\#GD\АНОЦТ\Проекты\АИС ГИН на ПКНД\Планирование\ДК 2023 ++ v,0.1.mpp\263ОО</t>
  </si>
  <si>
    <t>Реализован / адаптирован БП видов мероприятий для имитационного моделирования и пользовательского тестирования</t>
  </si>
  <si>
    <t>60;D:\Downloads\ДК 2023 ++ v,0.11111111111111111111.mpp\5;D:\Downloads\ДК 2023 ++ v,0.11111111111111111111.mpp\265ОО;D:\Downloads\ДК 2023 ++ v,0.11111111111111111111.mpp\12;D:\Downloads\ДК 2023 ++ v,0.11111111111111111111.mpp\14;D:\Downloads\ДК 2023 ++ v,0.11111111111111111111.mpp\16;D:\Downloads\ДК 2023 ++ v,0.11111111111111111111.mpp\20;D:\Downloads\ДК 2023 ++ v,0.11111111111111111111.mpp\22;D:\Downloads\ДК 2023 ++ v,0.11111111111111111111.mpp\24;D:\Downloads\ДК 2023 ++ v,0.11111111111111111111.mpp\264;D:\Downloads\ДК 2023 ++ v,0.11111111111111111111.mpp\269;D:\Downloads\ДК 2023 ++ v,0.11111111111111111111.mpp\271;D:\Downloads\ДК 2023 ++ v,0.11111111111111111111.mpp\273;D:\Downloads\ДК 2023 ++ v,0.11111111111111111111.mpp\278;D:\ЯДиск\YandexDisk\#GD\АНОЦТ\Проекты\АИС ГИН на ПКНД\Планирование\ДК 2023 ++ v,0.1.mpp\5;D:\ЯДиск\YandexDisk\#GD\АНОЦТ\Проекты\АИС ГИН на ПКНД\Планирование\ДК 2023 ++ v,0.1.mpp\264ОО;D:\ЯДиск\YandexDisk\#GD\АНОЦТ\Проекты\АИС ГИН на ПКНД\Планирование\ДК 2023 ++ v,0.1.mpp\12;D:\ЯДиск\YandexDisk\#GD\АНОЦТ\Проекты\АИС ГИН на ПКНД\Планирование\ДК 2023 ++ v,0.1.mpp\14;D:\ЯДиск\YandexDisk\#GD\АНОЦТ\Проекты\АИС ГИН на ПКНД\Планирование\ДК 2023 ++ v,0.1.mpp\16;D:\ЯДиск\YandexDisk\#GD\АНОЦТ\Проекты\АИС ГИН на ПКНД\Планирование\ДК 2023 ++ v,0.1.mpp\19;D:\ЯДиск\YandexDisk\#GD\АНОЦТ\Проекты\АИС ГИН на ПКНД\Планирование\ДК 2023 ++ v,0.1.mpp\21;D:\ЯДиск\YandexDisk\#GD\АНОЦТ\Проекты\АИС ГИН на ПКНД\Планирование\ДК 2023 ++ v,0.1.mpp\23;D:\ЯДиск\YandexDisk\#GD\АНОЦТ\Проекты\АИС ГИН на ПКНД\Планирование\ДК 2023 ++ v,0.1.mpp\263;D:\ЯДиск\YandexDisk\#GD\АНОЦТ\Проекты\АИС ГИН на ПКНД\Планирование\ДК 2023 ++ v,0.1.mpp\268;D:\ЯДиск\YandexDisk\#GD\АНОЦТ\Проекты\АИС ГИН на ПКНД\Планирование\ДК 2023 ++ v,0.1.mpp\270;D:\ЯДиск\YandexDisk\#GD\АНОЦТ\Проекты\АИС ГИН на ПКНД\Планирование\ДК 2023 ++ v,0.1.mpp\272;D:\ЯДиск\YandexDisk\#GD\АНОЦТ\Проекты\АИС ГИН на ПКНД\Планирование\ДК 2023 ++ v,0.1.mpp\277</t>
  </si>
  <si>
    <t>Бизнес-процесс по проведению Выездной проверки настроен</t>
  </si>
  <si>
    <t>41;96ОО</t>
  </si>
  <si>
    <t>Бизнес-процесс по проведению Осмотра ОНФ настроен</t>
  </si>
  <si>
    <t>41;60ОО</t>
  </si>
  <si>
    <t>Формирование результирующих документов по результату проведения Выездного обследования</t>
  </si>
  <si>
    <t>41;67ОО</t>
  </si>
  <si>
    <t>Формирование печатных форм Выездного обследования</t>
  </si>
  <si>
    <t>41;64ОО</t>
  </si>
  <si>
    <t>41;27ОО</t>
  </si>
  <si>
    <t>Бизнес-процесс по проведению Функционального мероприятия (1 вид) реализован</t>
  </si>
  <si>
    <t>41;108</t>
  </si>
  <si>
    <t>Бизнес-процесс по проведению Документарной проверки реализован</t>
  </si>
  <si>
    <t>41;112</t>
  </si>
  <si>
    <t>Бизнес-процесс по объявлению Предостережения реализован</t>
  </si>
  <si>
    <t>41;103</t>
  </si>
  <si>
    <t>Бизнес-процесс по проведению Профилактического визита реализован</t>
  </si>
  <si>
    <t>41;100</t>
  </si>
  <si>
    <t>Бизнес-процесс по проведению Инспекционного визита реализован</t>
  </si>
  <si>
    <t>41;92</t>
  </si>
  <si>
    <t>Бизнес-процесс по проведению Рейдового осмотра реализован</t>
  </si>
  <si>
    <t>41;86</t>
  </si>
  <si>
    <t>Бизнес-процесс по проведению Выездного обледования настроен</t>
  </si>
  <si>
    <t>41ОО</t>
  </si>
  <si>
    <t>Бизнес-процесс по проведению Выездного обследования реализован</t>
  </si>
  <si>
    <t>Бизнес-процесс по проведению Осмотра ОНФ реализован</t>
  </si>
  <si>
    <t>60;58</t>
  </si>
  <si>
    <t>133;127;D:\Downloads\ДК 2023 ++ v,0.11111111111111111111.mpp\10;D:\Downloads\ДК 2023 ++ v,0.11111111111111111111.mpp\7;D:\ЯДиск\YandexDisk\#GD\АНОЦТ\Проекты\АИС ГИН на ПКНД\Планирование\ДК 2023 ++ v,0.1.mpp\10;D:\ЯДиск\YandexDisk\#GD\АНОЦТ\Проекты\АИС ГИН на ПКНД\Планирование\ДК 2023 ++ v,0.1.mpp\7</t>
  </si>
  <si>
    <t>Бизнес-процесс по проведению Выездной проверки реализован</t>
  </si>
  <si>
    <t>Осмотр ОНФ (Печатные формы в т.ч.)</t>
  </si>
  <si>
    <t>41;263</t>
  </si>
  <si>
    <t>58;D:\Downloads\ДК 2023 ++ v,0.11111111111111111111.mpp\7;D:\Downloads\ДК 2023 ++ v,0.11111111111111111111.mpp\273ОО;D:\ЯДиск\YandexDisk\#GD\АНОЦТ\Проекты\АИС ГИН на ПКНД\Планирование\ДК 2023 ++ v,0.1.mpp\7;D:\ЯДиск\YandexDisk\#GD\АНОЦТ\Проекты\АИС ГИН на ПКНД\Планирование\ДК 2023 ++ v,0.1.mpp\272ОО</t>
  </si>
  <si>
    <t>D:\Downloads\ДК 2023 ++ v,0.11111111111111111111.mpp\269ОО;D:\ЯДиск\YandexDisk\#GD\АНОЦТ\Проекты\АИС ГИН на ПКНД\Планирование\ДК 2023 ++ v,0.1.mpp\268ОО</t>
  </si>
  <si>
    <t>64ОО;41</t>
  </si>
  <si>
    <t>D:\Downloads\ДК 2023 ++ v,0.11111111111111111111.mpp\271ОО;D:\ЯДиск\YandexDisk\#GD\АНОЦТ\Проекты\АИС ГИН на ПКНД\Планирование\ДК 2023 ++ v,0.1.mpp\270ОО</t>
  </si>
  <si>
    <t>67ОО;41</t>
  </si>
  <si>
    <t>Созданы локальные справочники (импорт-ввод данных)</t>
  </si>
  <si>
    <t xml:space="preserve">Реализован / адаптирован Стандарт всех видов мероприятий </t>
  </si>
  <si>
    <t>60ОО;41</t>
  </si>
  <si>
    <t>D:\Downloads\ДК 2023 ++ v,0.11111111111111111111.mpp\12;D:\Downloads\ДК 2023 ++ v,0.11111111111111111111.mpp\284ОО;D:\ЯДиск\YandexDisk\#GD\АНОЦТ\Проекты\АИС ГИН на ПКНД\Планирование\ДК 2023 ++ v,0.1.mpp\12;D:\ЯДиск\YandexDisk\#GD\АНОЦТ\Проекты\АИС ГИН на ПКНД\Планирование\ДК 2023 ++ v,0.1.mpp\283ОО</t>
  </si>
  <si>
    <t>Бизнес-процесс по проведению Рейдового осмотра настроен</t>
  </si>
  <si>
    <t>86ОО</t>
  </si>
  <si>
    <t>Плановая выездная проверка</t>
  </si>
  <si>
    <t>96;99</t>
  </si>
  <si>
    <t>86;41</t>
  </si>
  <si>
    <t>Демонтаж</t>
  </si>
  <si>
    <t>Назаров Алексей;</t>
  </si>
  <si>
    <t>D:\Downloads\ДК 2023 ++ v,0.11111111111111111111.mpp\14;D:\Downloads\ДК 2023 ++ v,0.11111111111111111111.mpp\288ОО;D:\ЯДиск\YandexDisk\#GD\АНОЦТ\Проекты\АИС ГИН на ПКНД\Планирование\ДК 2023 ++ v,0.1.mpp\14;D:\ЯДиск\YandexDisk\#GD\АНОЦТ\Проекты\АИС ГИН на ПКНД\Планирование\ДК 2023 ++ v,0.1.mpp\287ОО</t>
  </si>
  <si>
    <t>Зубов Юрий;</t>
  </si>
  <si>
    <t>Бизнес-процесс по проведению Испекционного визита настроен</t>
  </si>
  <si>
    <t>92ОО</t>
  </si>
  <si>
    <t>92;41</t>
  </si>
  <si>
    <t>D:\Downloads\ДК 2023 ++ v,0.11111111111111111111.mpp\278ОО;D:\ЯДиск\YandexDisk\#GD\АНОЦТ\Проекты\АИС ГИН на ПКНД\Планирование\ДК 2023 ++ v,0.1.mpp\277ОО;100</t>
  </si>
  <si>
    <t>96ОО;41</t>
  </si>
  <si>
    <t>100;41</t>
  </si>
  <si>
    <t>D:\Downloads\ДК 2023 ++ v,0.11111111111111111111.mpp\16;D:\Downloads\ДК 2023 ++ v,0.11111111111111111111.mpp\292ОО;D:\ЯДиск\YandexDisk\#GD\АНОЦТ\Проекты\АИС ГИН на ПКНД\Планирование\ДК 2023 ++ v,0.1.mpp\16;D:\ЯДиск\YandexDisk\#GD\АНОЦТ\Проекты\АИС ГИН на ПКНД\Планирование\ДК 2023 ++ v,0.1.mpp\291ОО;112</t>
  </si>
  <si>
    <t>Бизнес-процесс по проведению Профилактического визита настроен</t>
  </si>
  <si>
    <t>100ОО</t>
  </si>
  <si>
    <t>D:\Downloads\ДК 2023 ++ v,0.11111111111111111111.mpp\20;D:\Downloads\ДК 2023 ++ v,0.11111111111111111111.mpp\302ОО;D:\ЯДиск\YandexDisk\#GD\АНОЦТ\Проекты\АИС ГИН на ПКНД\Планирование\ДК 2023 ++ v,0.1.mpp\19;D:\ЯДиск\YandexDisk\#GD\АНОЦТ\Проекты\АИС ГИН на ПКНД\Планирование\ДК 2023 ++ v,0.1.mpp\301ОО;114</t>
  </si>
  <si>
    <t>Бизнес-процесс по Объявлению предостережения настроен</t>
  </si>
  <si>
    <t>103ОО</t>
  </si>
  <si>
    <t>103;41</t>
  </si>
  <si>
    <t>D:\Downloads\ДК 2023 ++ v,0.11111111111111111111.mpp\24;D:\Downloads\ДК 2023 ++ v,0.11111111111111111111.mpp\311ОО;D:\ЯДиск\YandexDisk\#GD\АНОЦТ\Проекты\АИС ГИН на ПКНД\Планирование\ДК 2023 ++ v,0.1.mpp\23;D:\ЯДиск\YandexDisk\#GD\АНОЦТ\Проекты\АИС ГИН на ПКНД\Планирование\ДК 2023 ++ v,0.1.mpp\310ОО</t>
  </si>
  <si>
    <t>Бизнес-процесс по проведению Функционального мероприятия настроен</t>
  </si>
  <si>
    <t>108ОО</t>
  </si>
  <si>
    <t>108;41</t>
  </si>
  <si>
    <t>D:\Downloads\ДК 2023 ++ v,0.11111111111111111111.mpp\22;D:\ЯДиск\YandexDisk\#GD\АНОЦТ\Проекты\АИС ГИН на ПКНД\Планирование\ДК 2023 ++ v,0.1.mpp\21</t>
  </si>
  <si>
    <t>112;41</t>
  </si>
  <si>
    <t>D:\Downloads\ДК 2023 ++ v,0.11111111111111111111.mpp\306ОО;D:\ЯДиск\YandexDisk\#GD\АНОЦТ\Проекты\АИС ГИН на ПКНД\Планирование\ДК 2023 ++ v,0.1.mpp\305ОО</t>
  </si>
  <si>
    <t>Бизнес-процесс по проведению Документарной проверки настроен</t>
  </si>
  <si>
    <t>114ОО</t>
  </si>
  <si>
    <t>Реализованы Технические Сервисы по расширению функциональности (2 Этап - Развитие сервисов расширения функциональности СИЭР и интеграции с МП МС)</t>
  </si>
  <si>
    <t>D:\Downloads\ДК 2023 ++ v,0.11111111111111111111.mpp\337ОО;D:\ЯДиск\YandexDisk\#GD\АНОЦТ\Проекты\АИС ГИН на ПКНД\Планирование\ДК 2023 ++ v,0.1.mpp\334ОО</t>
  </si>
  <si>
    <t>Механизм уведомления пользователей, в том числе по электронной почте</t>
  </si>
  <si>
    <t>118ОО</t>
  </si>
  <si>
    <t>Формирование уведомления Субъекта</t>
  </si>
  <si>
    <t>122ОО</t>
  </si>
  <si>
    <t>D:\Downloads\ДК 2023 ++ v,0.11111111111111111111.mpp\325ОО;D:\ЯДиск\YandexDisk\#GD\АНОЦТ\Проекты\АИС ГИН на ПКНД\Планирование\ДК 2023 ++ v,0.1.mpp\322ОО</t>
  </si>
  <si>
    <t>Интеграция МПМ (ПКНД) с МП (МС) :: 1 очередь 1 этап</t>
  </si>
  <si>
    <t>Выполнена интеграция МПМ с АИС ГИН МП (МС) 1 очередь</t>
  </si>
  <si>
    <t>D:\ЯДиск\YandexDisk\#GD\АНОЦТ\Проекты\АИС ГИН на ПКНД\Планирование\КПГП ЭД 2.0 МПМ Software DEV Интеграции.mpp\52</t>
  </si>
  <si>
    <t>D:\Downloads\ДК 2023 ++ v,0.11111111111111111111.mpp\37;D:\ЯДиск\YandexDisk\#GD\АНОЦТ\Проекты\АИС ГИН на ПКНД\Планирование\ДК 2023 ++ v,0.1.mpp\36</t>
  </si>
  <si>
    <t>Релиз МПМ 0.5 выведен на тестовый контур</t>
  </si>
  <si>
    <t>Пользовательское тестирование Релиза 0.5</t>
  </si>
  <si>
    <t>133ОО;284ОН+12 дней</t>
  </si>
  <si>
    <t>58;130</t>
  </si>
  <si>
    <t>134;D:\Downloads\ДК 2023 ++ v,0.11111111111111111111.mpp\377ОО;D:\ЯДиск\YandexDisk\#GD\АНОЦТ\Проекты\АИС ГИН на ПКНД\Планирование\ДК 2023 ++ v,0.1.mpp\368ОО</t>
  </si>
  <si>
    <t>137;D:\Downloads\ДК 2023 ++ v,0.11111111111111111111.mpp\379ОО;D:\ЯДиск\YandexDisk\#GD\АНОЦТ\Проекты\АИС ГИН на ПКНД\Планирование\ДК 2023 ++ v,0.1.mpp\370ОО</t>
  </si>
  <si>
    <t>Устранение багов Релиза 0.5</t>
  </si>
  <si>
    <t>134ОО</t>
  </si>
  <si>
    <t>134;217</t>
  </si>
  <si>
    <t>138ОН-5 дней</t>
  </si>
  <si>
    <t>137ОН-5 дней</t>
  </si>
  <si>
    <t>D:\Downloads\ДК 2023 ++ v,0.11111111111111111111.mpp\382ОО;D:\ЯДиск\YandexDisk\#GD\АНОЦТ\Проекты\АИС ГИН на ПКНД\Планирование\ДК 2023 ++ v,0.1.mpp\373ОО</t>
  </si>
  <si>
    <t>Реализация дополнительных требований, выявленных в пользовательском тестировании Релиза 1.0</t>
  </si>
  <si>
    <t>139ОО</t>
  </si>
  <si>
    <t>Тигран Отпуск</t>
  </si>
  <si>
    <t>Инициация</t>
  </si>
  <si>
    <t>Старт</t>
  </si>
  <si>
    <t>145;165</t>
  </si>
  <si>
    <t>Инфраструктура проекта на Confluence</t>
  </si>
  <si>
    <t>WBS проекта</t>
  </si>
  <si>
    <t>Обучение Платформе КНД</t>
  </si>
  <si>
    <t>292;2</t>
  </si>
  <si>
    <t xml:space="preserve">Camunda :: Обучение внутреннее общее </t>
  </si>
  <si>
    <t>Платформа КНД :: Обучение вводное</t>
  </si>
  <si>
    <t xml:space="preserve">МИГРАЦИЯ ДАННЫХ </t>
  </si>
  <si>
    <t xml:space="preserve">Целесообразность миграции данных </t>
  </si>
  <si>
    <t>Подготовить перечень сущностей и атрибутов для миграции из БД Монолита</t>
  </si>
  <si>
    <t>Проработать варианты решения записи данных в БД СИЭР (состав Д., трансформация Д., обогащение Д., занесение Д. в БД Camunda)</t>
  </si>
  <si>
    <t>Кузнецов Евгений;</t>
  </si>
  <si>
    <t xml:space="preserve">Создать ФТ на реализацию миграции данных </t>
  </si>
  <si>
    <t>Банников Дмитрий;</t>
  </si>
  <si>
    <t>СИСТЕМНЫЙ АНАЛИЗ и ФТ</t>
  </si>
  <si>
    <t>5ОН+7 дней</t>
  </si>
  <si>
    <t>ДЕТАЛЬНЫЕ ФУНКЦИОНАЛЬНЫЕ ТРЕБОВАНИЯ И UCM ЭД</t>
  </si>
  <si>
    <t>Посмотреть новый подход Чупина</t>
  </si>
  <si>
    <t>UCM Модуля РОС + КМД в.2.0</t>
  </si>
  <si>
    <t>Модуль Демонтаж</t>
  </si>
  <si>
    <t>БП целевая модель</t>
  </si>
  <si>
    <t>176ОН-7 дней</t>
  </si>
  <si>
    <t>UCM уровня целей v.1.0 и основного потока</t>
  </si>
  <si>
    <t>175ОН-7 дней</t>
  </si>
  <si>
    <t>UCM детальные сценарии v.1.0</t>
  </si>
  <si>
    <t>UCM v.3.0 детальные сценарии</t>
  </si>
  <si>
    <t>UCM v.3.0 ревю тим лидом</t>
  </si>
  <si>
    <t>UCM v.1.0 на уровне целей</t>
  </si>
  <si>
    <t>Интеграция МАРМ с МПМ</t>
  </si>
  <si>
    <t>UCM МП + КМД v.1.0</t>
  </si>
  <si>
    <t>189НН</t>
  </si>
  <si>
    <t>Концепция реализации синхронизации Мприл</t>
  </si>
  <si>
    <t>188НН</t>
  </si>
  <si>
    <t>Архитектурные решания</t>
  </si>
  <si>
    <t>194;192</t>
  </si>
  <si>
    <t>Техническое задание на доработки API МС v.2.0 (учесть изменение подхода к GraphQL )</t>
  </si>
  <si>
    <t>Модуль Планирования</t>
  </si>
  <si>
    <t>UCM + КМД v.1.0</t>
  </si>
  <si>
    <t>Прототип v.1.0</t>
  </si>
  <si>
    <t>РЕАЛИЗАЦИЯ ФУНКЦИОНАЛЬНОСТИ МОДУЛЯ МЕРОПРИЯТИЯ на ПКНД</t>
  </si>
  <si>
    <t>Основные БП из базовой функциональности.</t>
  </si>
  <si>
    <t>204;207</t>
  </si>
  <si>
    <t>3;208;244;249;242;272;209</t>
  </si>
  <si>
    <t>Согласование БП с вариативностью с ФЗ (Канва БП)</t>
  </si>
  <si>
    <t>Согласование БП детальных</t>
  </si>
  <si>
    <t>214;215;216</t>
  </si>
  <si>
    <t>Внутренняя мероприятие</t>
  </si>
  <si>
    <t>РАСШИРЕНИЕ ФУНКЦИОНАЛЬНОСТИ МОДУЛЯ МЕРОПРИЯТИЯ на ПКНД</t>
  </si>
  <si>
    <t>Стандарт :: Плановая выездная проверка</t>
  </si>
  <si>
    <t>Вспомогательные ЭФ</t>
  </si>
  <si>
    <t>Каркас Чек-листа</t>
  </si>
  <si>
    <t>Согласовать список печатных форм</t>
  </si>
  <si>
    <t>Чек лист и ЭФ финализация</t>
  </si>
  <si>
    <t>Привязать ПФ</t>
  </si>
  <si>
    <t>Стандарт :: Плановый рейдовый осмотр</t>
  </si>
  <si>
    <t>Интеграция</t>
  </si>
  <si>
    <t>Интеграция с ВИС ФТ и UCM</t>
  </si>
  <si>
    <t>Интеграция детализация ФТ и сценариев</t>
  </si>
  <si>
    <t>234;239</t>
  </si>
  <si>
    <t>Почта России</t>
  </si>
  <si>
    <t>240;239;235</t>
  </si>
  <si>
    <t>Почта России v.2.0 (включая Заявку)</t>
  </si>
  <si>
    <t>Ревю и финализация</t>
  </si>
  <si>
    <t>СПД ДГИ (ЕПГУ через СПД ?)</t>
  </si>
  <si>
    <t>ОАСИ МКА (москомархитектуры)</t>
  </si>
  <si>
    <t>Электронная почта</t>
  </si>
  <si>
    <t>233;234</t>
  </si>
  <si>
    <t>ЕРКНМ</t>
  </si>
  <si>
    <t>Наш город</t>
  </si>
  <si>
    <t>240;238</t>
  </si>
  <si>
    <t>D:\Downloads\ДК 2023 ++ v,0.11111111111111111111.mpp\317;D:\ЯДиск\YandexDisk\#GD\АНОЦТ\Проекты\АИС ГИН на ПКНД\Планирование\ДК 2023 ++ v,0.1.mpp\316</t>
  </si>
  <si>
    <t>Экранные формы, требуемые для учета и обработки досудебной жалобы</t>
  </si>
  <si>
    <t>Проведение КНМ, включая чеклисты</t>
  </si>
  <si>
    <t>D:\Downloads\ДК 2023 ++ v,0.11111111111111111111.mpp\267;D:\Downloads\ДК 2023 ++ v,0.11111111111111111111.mpp\326;D:\ЯДиск\YandexDisk\#GD\АНОЦТ\Проекты\АИС ГИН на ПКНД\Планирование\ДК 2023 ++ v,0.1.mpp\266;D:\ЯДиск\YandexDisk\#GD\АНОЦТ\Проекты\АИС ГИН на ПКНД\Планирование\ДК 2023 ++ v,0.1.mpp\323</t>
  </si>
  <si>
    <t>Алгоритм автоматического определения статьи нарушения по результату заполнения чек-листа</t>
  </si>
  <si>
    <t>Реализация чек-листов (электронная версия опросника)</t>
  </si>
  <si>
    <t>261НН</t>
  </si>
  <si>
    <t>260НН</t>
  </si>
  <si>
    <t xml:space="preserve">ОСС </t>
  </si>
  <si>
    <t>ОНФ</t>
  </si>
  <si>
    <t>Альбом ПФ согласовать актуальность</t>
  </si>
  <si>
    <t>267;268</t>
  </si>
  <si>
    <t>277;278</t>
  </si>
  <si>
    <t>282;280;283</t>
  </si>
  <si>
    <t>Передача стандарта ОНФ на тестирование</t>
  </si>
  <si>
    <t>Фотофиксация :: ТЗ на реализацию в КПКНД</t>
  </si>
  <si>
    <t>Фотофиксация :: Разработка ПФ с использованием тех.решения</t>
  </si>
  <si>
    <t>D:\Downloads\ДК 2023 ++ v,0.11111111111111111111.mpp\377ОН+12 дней;7;D:\ЯДиск\YandexDisk\#GD\АНОЦТ\Проекты\АИС ГИН на ПКНД\Планирование\ДК 2023 ++ v,0.1.mpp\368ОН+12 дней</t>
  </si>
  <si>
    <t>Интеграция 2 очередь</t>
  </si>
  <si>
    <t>Бизнес-процесс переопределения структурного подразделения и сотрудника с учетом нагрузки</t>
  </si>
  <si>
    <t>287НН</t>
  </si>
  <si>
    <t>Интеграция с Наш Город</t>
  </si>
  <si>
    <t>286НН</t>
  </si>
  <si>
    <t>284ОН+12 дней;133ОО</t>
  </si>
  <si>
    <t>РАЗРАБОТКА :: НАЧАЛО</t>
  </si>
  <si>
    <t>6ОН+5 дней</t>
  </si>
  <si>
    <t>Поставлена задача на консультацию по доработке штатной функциональностти платформы по уведомлениями</t>
  </si>
  <si>
    <t>Справочник Задачи</t>
  </si>
  <si>
    <t>313;320</t>
  </si>
  <si>
    <t>Справочник Задачи :: Отладка с интеграцией в БП в.0.1</t>
  </si>
  <si>
    <t>Справочники (в т.ч. Объектов / Субъектов)</t>
  </si>
  <si>
    <t>[УБРАН ФУНКЦИОНАЛ] Выгрузка/загрузка реестра объектов в/из XLSX (Получить список объектов по ID задачи + Получить список субъектов по ID задачи)</t>
  </si>
  <si>
    <t>Релизована пакетная загрузка Объектов</t>
  </si>
  <si>
    <t>Реализован каркас на базе Graph QL</t>
  </si>
  <si>
    <t xml:space="preserve">Автообновление справочников </t>
  </si>
  <si>
    <t>Системный анализ :: Атрибутивный состав С. И О. завершен</t>
  </si>
  <si>
    <t>Трассировка полей СИЭР на JSON структуру</t>
  </si>
  <si>
    <t>Спраковочник Сотрудников и функционально-штатной расстановки</t>
  </si>
  <si>
    <t>Системный анализ :: справочник сотрудников через API / Excel / Глобальный справочник</t>
  </si>
  <si>
    <t>307НН</t>
  </si>
  <si>
    <t>306НН</t>
  </si>
  <si>
    <t>308НН;309НН;310НН</t>
  </si>
  <si>
    <t>Концепция реализации управлением справочниками сотрудников и функционально-штатной расстановкой</t>
  </si>
  <si>
    <t xml:space="preserve">Справочники-подстановщики локального характера </t>
  </si>
  <si>
    <t>78;79;80;81;82</t>
  </si>
  <si>
    <t>Справочник Источник задачи</t>
  </si>
  <si>
    <t>295;297</t>
  </si>
  <si>
    <t>Справочник Тематика мероприятия</t>
  </si>
  <si>
    <t>Справочник Вид мероприятия</t>
  </si>
  <si>
    <t>Справочник Цель мероприятия</t>
  </si>
  <si>
    <t>Справочник Признаки нарушений</t>
  </si>
  <si>
    <t>Справочник Статьи КОАП</t>
  </si>
  <si>
    <t>Технические сервисы 1 релиза v.1.1.</t>
  </si>
  <si>
    <t>329;341</t>
  </si>
  <si>
    <t>327;328;326;11</t>
  </si>
  <si>
    <t>331ОН-5 дней;15;14</t>
  </si>
  <si>
    <t>Создание задачи из СИЭР в Эмулятор МП АИС ГИН МС (по событию в логике Завершения М из СИЭР)</t>
  </si>
  <si>
    <t>328ОН-5 дней</t>
  </si>
  <si>
    <t>118;16</t>
  </si>
  <si>
    <t>Разработка и согласование технической реализации (в т.ч. материалы по "внешним интеграциям" через ЕТПМВ)</t>
  </si>
  <si>
    <t>Доработки функциональности FrontEnd СИЭР платформы</t>
  </si>
  <si>
    <t xml:space="preserve">Развернуть код и разобраться как вносить изменения </t>
  </si>
  <si>
    <t>Демченко Денис;</t>
  </si>
  <si>
    <t>FR</t>
  </si>
  <si>
    <t>Отображать значения уже заполненных полей ЭФ не по нажатию на "глаз" а сразу</t>
  </si>
  <si>
    <t>ИНТЕГРАЦИИ :: ИНИЦИАЦИЯ</t>
  </si>
  <si>
    <t>Интеграция МПМ (ПКНД) с МП (МС) :: 1 очередь 1 этап :: Согласование с ОТ</t>
  </si>
  <si>
    <t>Изучение применимости интеграции по GQL</t>
  </si>
  <si>
    <t>КаркасЭмулятора</t>
  </si>
  <si>
    <t>GET :: Список задач</t>
  </si>
  <si>
    <t>POST :: Детальная задача</t>
  </si>
  <si>
    <t>POST :: getData обертка</t>
  </si>
  <si>
    <t>POST :: Создать задачу из МПМ в МП</t>
  </si>
  <si>
    <t>GET :: Список объектов</t>
  </si>
  <si>
    <t>GET :: Объект детально</t>
  </si>
  <si>
    <t xml:space="preserve">POST :: Создать ОСС из МПМ в МП </t>
  </si>
  <si>
    <t xml:space="preserve">POST :: Изменить ОСС из МПМ в МП </t>
  </si>
  <si>
    <t>POST:: getData обертка</t>
  </si>
  <si>
    <t>Angular &amp; JAVA :: Релизный план</t>
  </si>
  <si>
    <t>366;362;360</t>
  </si>
  <si>
    <t>Архитектурное решение (принципы и паттерны)</t>
  </si>
  <si>
    <t xml:space="preserve">Фильтры </t>
  </si>
  <si>
    <t>Функционал по управлению Объектами (О из М в списках форм)</t>
  </si>
  <si>
    <t xml:space="preserve">Сценарии ВИ для UI </t>
  </si>
  <si>
    <t>366;367</t>
  </si>
  <si>
    <t>ТЗ на Дизайн UI</t>
  </si>
  <si>
    <t>359;365</t>
  </si>
  <si>
    <t>Создание технического прототипа  v.1.0 + Релизный план</t>
  </si>
  <si>
    <t>Проект</t>
  </si>
  <si>
    <t>КПГП ЭД 2.0 МПМ АИС ГИН (ПКНД) BASELINE</t>
  </si>
  <si>
    <t>D:\Downloads\ДК 2023 ++ v,0.11111111111111111111.mpp</t>
  </si>
  <si>
    <t>D:\ЯДиск\YandexDisk\#GD\АНОЦТ\Проекты\АИС ГИН на ПКНД\Планирование\ДК 2023 ++ v,0.1.mpp</t>
  </si>
  <si>
    <t>D:\ЯДиск\YandexDisk\#GD\АНОЦТ\Проекты\АИС ГИН на ПКНД\Планирование\КПГП ЭД 2.0 МПМ Software DEV Интеграции.mpp</t>
  </si>
  <si>
    <t>Epic</t>
  </si>
  <si>
    <t>Стабилизация</t>
  </si>
  <si>
    <t>Вехи</t>
  </si>
  <si>
    <t>0.1 - 0.4 Первичный анализ завершен</t>
  </si>
  <si>
    <t>0.5 - Прототип для согласования с ПО</t>
  </si>
  <si>
    <t>0.6 Прототип с отработкой замечаний ПО и показ ФЗ</t>
  </si>
  <si>
    <t>0.9  ФГ по каркасу с основными ЭФ и некоторыми ПФ</t>
  </si>
  <si>
    <t>0.9.1 Совместное тестирование всех ГЛАВНЫХ БП, ЭФ и ПФ. Начало обучения.</t>
  </si>
  <si>
    <t>0.9.2 ОЭ полноценная но не стабилизированная версия. Обучение финальное. "Быстрый" выход в прод.</t>
  </si>
  <si>
    <t>1.0 ОПЭ стабильная версия с hot fixes</t>
  </si>
  <si>
    <t xml:space="preserve">Разработка на КСИЭР </t>
  </si>
  <si>
    <t>0.1 - 0.4 Первичный анализ</t>
  </si>
  <si>
    <t>Анализ ФТ/Бизнес-постановки/БТ</t>
  </si>
  <si>
    <t>Методолог1;</t>
  </si>
  <si>
    <t>Фиксация финальной версии US</t>
  </si>
  <si>
    <t>Разработка БП</t>
  </si>
  <si>
    <t>17;16НН</t>
  </si>
  <si>
    <t>Выявление и фиксация БПР и БТ</t>
  </si>
  <si>
    <t>15НН</t>
  </si>
  <si>
    <t xml:space="preserve">Согласование и бейзлайн БП </t>
  </si>
  <si>
    <t>21;19ОН-2 дней</t>
  </si>
  <si>
    <t>Разработка Концепции реализации и UCM</t>
  </si>
  <si>
    <t>17ОН-2 дней</t>
  </si>
  <si>
    <t>21;20НН</t>
  </si>
  <si>
    <t>Уточнение и финализация БП</t>
  </si>
  <si>
    <t>19НН</t>
  </si>
  <si>
    <t>Создание Прототипа</t>
  </si>
  <si>
    <t>19;17</t>
  </si>
  <si>
    <t>23;5</t>
  </si>
  <si>
    <t>Согласование и бейзлайн концепции реализации</t>
  </si>
  <si>
    <t>Согласование и финализация прототипа</t>
  </si>
  <si>
    <t>0.9  ФГ Основные ЭФ и Шаблоны ПФ</t>
  </si>
  <si>
    <t xml:space="preserve">Настройка каркаса </t>
  </si>
  <si>
    <t xml:space="preserve">Реализация ОСНОВНЫХ ЭФ </t>
  </si>
  <si>
    <t>28;29НН+3 дней;30</t>
  </si>
  <si>
    <t>Разработка Шаблонов ПФ</t>
  </si>
  <si>
    <t>Методолог1, Методолог2;</t>
  </si>
  <si>
    <t>РВИ и ЛМД</t>
  </si>
  <si>
    <t>27НН+3 дней</t>
  </si>
  <si>
    <t>51НН+3 дней</t>
  </si>
  <si>
    <t>Аналитик1;</t>
  </si>
  <si>
    <t>Демо и финализация каркаса</t>
  </si>
  <si>
    <t>Старт финализации разработки версии</t>
  </si>
  <si>
    <t>0.9.1  Совместное тестирование ГЛАВНЫХ БП, ЭФ и ПФ</t>
  </si>
  <si>
    <t>Реализация ГЛАВНЫХ ЭФ и части ПФ паралельно</t>
  </si>
  <si>
    <t>34;56</t>
  </si>
  <si>
    <t>Методолог1;Методолог2;</t>
  </si>
  <si>
    <t xml:space="preserve">Реализация обработчиков </t>
  </si>
  <si>
    <t>36;38</t>
  </si>
  <si>
    <t>0.9.2 Подготовка версии для ОЭ</t>
  </si>
  <si>
    <t>Реализация всех ЭФ  паралельно</t>
  </si>
  <si>
    <t>Реализация ПФ паралельно</t>
  </si>
  <si>
    <t>Релизные тесты</t>
  </si>
  <si>
    <t>40;61</t>
  </si>
  <si>
    <t>Регресс тесты</t>
  </si>
  <si>
    <t>1.0 Подготовка версии для ОПЭ</t>
  </si>
  <si>
    <t>Развертывание</t>
  </si>
  <si>
    <t>Выпуск</t>
  </si>
  <si>
    <t>Разработка сервисов и кастомизация СИЭР</t>
  </si>
  <si>
    <t>Разработка 1 итерация каркасная</t>
  </si>
  <si>
    <t>Разработка ПЗ по бэку</t>
  </si>
  <si>
    <t>29НН+3 дней</t>
  </si>
  <si>
    <t>52;53</t>
  </si>
  <si>
    <t>Реализация бэк методов</t>
  </si>
  <si>
    <t>Разработчик1;</t>
  </si>
  <si>
    <t>Разработка ПЗ по фронту</t>
  </si>
  <si>
    <t>54;56</t>
  </si>
  <si>
    <t>Разрабокта фронта</t>
  </si>
  <si>
    <t>Фронт-разработчик1;</t>
  </si>
  <si>
    <t>Разработка 2 итерация Счастливый путь</t>
  </si>
  <si>
    <t>Финальные уточнения ПЗ по бэку</t>
  </si>
  <si>
    <t>33;53</t>
  </si>
  <si>
    <t>57;58</t>
  </si>
  <si>
    <t>Финальные уточнения ПЗ по фронту</t>
  </si>
  <si>
    <t>Разработка 3 итерация ИНТЕГРАЦИИ и Полный путь</t>
  </si>
  <si>
    <t>Совместные тестирования и уточнения ПЗ по бэку</t>
  </si>
  <si>
    <t>62;63</t>
  </si>
  <si>
    <t>Тесты и финальные уточнения ПЗ по фронту</t>
  </si>
  <si>
    <t>Финализация фронта</t>
  </si>
  <si>
    <t>Разработка ФИНАЛИЗАЦИЯ и СОПРОВОЖДЕНИЕ</t>
  </si>
  <si>
    <t>Тесты и Уточнения ПЗ по бэку</t>
  </si>
  <si>
    <t>Стабилизация бэк методов</t>
  </si>
  <si>
    <t>Тесты и Уточнения ПЗ по фронту</t>
  </si>
  <si>
    <t>Стабилизация фронта</t>
  </si>
  <si>
    <t xml:space="preserve"> = 30% * WE  (итого 60%)</t>
  </si>
  <si>
    <t xml:space="preserve"> = 15% * 30%*WE</t>
  </si>
  <si>
    <t xml:space="preserve"> </t>
  </si>
  <si>
    <t xml:space="preserve"> = 40% * WE  (итого 100%)</t>
  </si>
  <si>
    <t xml:space="preserve"> = 15% * 50% * WE</t>
  </si>
  <si>
    <t xml:space="preserve"> 3 дня / форму</t>
  </si>
  <si>
    <t xml:space="preserve"> = 10% * WE</t>
  </si>
  <si>
    <t xml:space="preserve"> 5 д</t>
  </si>
  <si>
    <t xml:space="preserve"> 60 ч</t>
  </si>
  <si>
    <t xml:space="preserve"> 80 ч</t>
  </si>
  <si>
    <t xml:space="preserve"> 5 дней</t>
  </si>
  <si>
    <t xml:space="preserve"> 3 дня</t>
  </si>
  <si>
    <t xml:space="preserve"> МД 1.0 = емкость ~2000 (1 год)</t>
  </si>
  <si>
    <t xml:space="preserve"> МПМ 1.0 = емкость 3400 + 1000 быстрый прототип (2 года) </t>
  </si>
  <si>
    <t xml:space="preserve"> МАП 1.0 = емкость 3500 ч (длит. 1,5 года)</t>
  </si>
  <si>
    <t xml:space="preserve"> 20% (итого 30%)</t>
  </si>
  <si>
    <t xml:space="preserve"> 10 дней </t>
  </si>
  <si>
    <t xml:space="preserve"> 10 дней</t>
  </si>
  <si>
    <t>Кт</t>
  </si>
  <si>
    <t>Типовой шаблон СИЭР (средний модуль) v.0.5</t>
  </si>
  <si>
    <t>ОБЪЕМ</t>
  </si>
  <si>
    <t>Как можно раньше</t>
  </si>
  <si>
    <t>Автоматическое планирование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</si>
</sst>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* #,##0.00\ &quot;₽&quot;_-;\-* #,##0.00\ &quot;₽&quot;_-;_-* &quot;-&quot;??\ &quot;₽&quot;_-;_-@_-"/>
  </numFmts>
  <fonts count="30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u/>
      <sz val="11"/>
      <color theme="10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sz val="11"/>
      <color theme="1"/>
      <name val="Calibri"/>
      <family val="2"/>
      <charset val="204"/>
      <scheme val="minor"/>
    </font>
    <font>
      <sz val="11"/>
      <color rgb="FF9C5700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  <font>
      <b/>
      <sz val="11"/>
      <color rgb="FF9C5700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1"/>
      <color rgb="FF7030A0"/>
      <name val="Calibri"/>
      <family val="2"/>
      <charset val="204"/>
      <scheme val="minor"/>
    </font>
    <font>
      <b/>
      <sz val="11"/>
      <color rgb="FFFF0000"/>
      <name val="Calibri"/>
      <family val="2"/>
      <charset val="204"/>
      <scheme val="minor"/>
    </font>
    <font>
      <sz val="11"/>
      <color rgb="FFC00000"/>
      <name val="Calibri"/>
      <family val="2"/>
      <charset val="204"/>
      <scheme val="minor"/>
    </font>
    <font>
      <sz val="11"/>
      <color rgb="FF0070C0"/>
      <name val="Calibri"/>
      <family val="2"/>
      <charset val="204"/>
      <scheme val="minor"/>
    </font>
    <font>
      <i/>
      <sz val="8"/>
      <color theme="1"/>
      <name val="Calibri"/>
      <family val="2"/>
      <charset val="204"/>
      <scheme val="minor"/>
    </font>
    <font>
      <b/>
      <i/>
      <sz val="8"/>
      <color theme="1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b/>
      <sz val="11"/>
      <name val="Calibri"/>
      <family val="2"/>
      <charset val="204"/>
      <scheme val="minor"/>
    </font>
    <font>
      <b/>
      <i/>
      <sz val="8"/>
      <color theme="0"/>
      <name val="Calibri"/>
      <family val="2"/>
      <charset val="204"/>
      <scheme val="minor"/>
    </font>
    <font>
      <b/>
      <sz val="11"/>
      <color theme="9" tint="-0.249977111117893"/>
      <name val="Calibri"/>
      <family val="2"/>
      <charset val="204"/>
      <scheme val="minor"/>
    </font>
    <font>
      <b/>
      <sz val="11"/>
      <color theme="9" tint="-0.499984740745262"/>
      <name val="Calibri"/>
      <family val="2"/>
      <charset val="204"/>
      <scheme val="minor"/>
    </font>
    <font>
      <sz val="11"/>
      <color theme="9" tint="-0.249977111117893"/>
      <name val="Calibri"/>
      <family val="2"/>
      <charset val="204"/>
      <scheme val="minor"/>
    </font>
    <font>
      <b/>
      <sz val="11"/>
      <color rgb="FFC00000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b/>
      <sz val="9"/>
      <color rgb="FF000000"/>
      <name val="Calibri"/>
      <family val="2"/>
      <charset val="204"/>
      <scheme val="minor"/>
    </font>
    <font>
      <sz val="9"/>
      <color rgb="FF000000"/>
      <name val="Calibri"/>
      <family val="2"/>
      <charset val="204"/>
      <scheme val="minor"/>
    </font>
    <font>
      <b/>
      <sz val="11"/>
      <color rgb="FF000000"/>
      <name val="Calibri"/>
      <family val="2"/>
      <charset val="204"/>
      <scheme val="minor"/>
    </font>
    <font>
      <sz val="11"/>
      <color theme="0" tint="-4.9989318521683403E-2"/>
      <name val="Calibri"/>
      <family val="2"/>
      <charset val="204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8" tint="0.39997558519241921"/>
        <bgColor indexed="65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FF"/>
        <bgColor indexed="64"/>
      </patternFill>
    </fill>
  </fills>
  <borders count="4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1BBCC"/>
      </left>
      <right style="thin">
        <color rgb="FFB1BBCC"/>
      </right>
      <top style="thin">
        <color rgb="FFB1BBCC"/>
      </top>
      <bottom style="thin">
        <color rgb="FFB1BBCC"/>
      </bottom>
      <diagonal/>
    </border>
  </borders>
  <cellStyleXfs count="8">
    <xf numFmtId="0" fontId="0" fillId="0" borderId="0"/>
    <xf numFmtId="0" fontId="2" fillId="0" borderId="0" applyNumberFormat="0" applyFill="0" applyBorder="0" applyAlignment="0" applyProtection="0"/>
    <xf numFmtId="44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2" borderId="0" applyNumberFormat="0" applyBorder="0" applyAlignment="0" applyProtection="0"/>
    <xf numFmtId="0" fontId="5" fillId="3" borderId="0" applyNumberFormat="0" applyBorder="0" applyAlignment="0" applyProtection="0"/>
    <xf numFmtId="0" fontId="8" fillId="4" borderId="1" applyNumberFormat="0" applyAlignment="0" applyProtection="0"/>
    <xf numFmtId="0" fontId="9" fillId="5" borderId="2" applyNumberFormat="0" applyAlignment="0" applyProtection="0"/>
  </cellStyleXfs>
  <cellXfs count="95">
    <xf numFmtId="0" fontId="0" fillId="0" borderId="0" xfId="0"/>
    <xf numFmtId="22" fontId="0" fillId="0" borderId="0" xfId="0" applyNumberFormat="1"/>
    <xf numFmtId="0" fontId="1" fillId="0" borderId="0" xfId="0" applyFont="1"/>
    <xf numFmtId="22" fontId="1" fillId="0" borderId="0" xfId="0" applyNumberFormat="1" applyFont="1"/>
    <xf numFmtId="0" fontId="2" fillId="0" borderId="0" xfId="1"/>
    <xf numFmtId="9" fontId="1" fillId="0" borderId="0" xfId="3" applyFont="1"/>
    <xf numFmtId="9" fontId="0" fillId="0" borderId="0" xfId="3" applyFont="1"/>
    <xf numFmtId="44" fontId="0" fillId="0" borderId="0" xfId="2" applyFont="1"/>
    <xf numFmtId="9" fontId="1" fillId="0" borderId="0" xfId="3" applyFont="1" applyFill="1"/>
    <xf numFmtId="0" fontId="4" fillId="2" borderId="0" xfId="4" applyAlignment="1">
      <alignment horizontal="center"/>
    </xf>
    <xf numFmtId="0" fontId="0" fillId="0" borderId="0" xfId="0" applyFont="1"/>
    <xf numFmtId="0" fontId="6" fillId="0" borderId="0" xfId="0" applyFont="1"/>
    <xf numFmtId="0" fontId="9" fillId="5" borderId="2" xfId="7"/>
    <xf numFmtId="22" fontId="9" fillId="5" borderId="2" xfId="7" applyNumberFormat="1"/>
    <xf numFmtId="0" fontId="12" fillId="6" borderId="0" xfId="0" applyFont="1" applyFill="1"/>
    <xf numFmtId="0" fontId="15" fillId="0" borderId="0" xfId="0" applyFont="1" applyAlignment="1">
      <alignment horizontal="center" vertical="center"/>
    </xf>
    <xf numFmtId="0" fontId="0" fillId="7" borderId="0" xfId="0" applyFill="1"/>
    <xf numFmtId="22" fontId="0" fillId="7" borderId="0" xfId="0" applyNumberFormat="1" applyFill="1"/>
    <xf numFmtId="22" fontId="5" fillId="7" borderId="0" xfId="5" applyNumberFormat="1" applyFill="1"/>
    <xf numFmtId="22" fontId="13" fillId="7" borderId="0" xfId="0" applyNumberFormat="1" applyFont="1" applyFill="1"/>
    <xf numFmtId="22" fontId="14" fillId="7" borderId="0" xfId="0" applyNumberFormat="1" applyFont="1" applyFill="1"/>
    <xf numFmtId="0" fontId="14" fillId="7" borderId="0" xfId="0" applyFont="1" applyFill="1"/>
    <xf numFmtId="0" fontId="1" fillId="8" borderId="0" xfId="0" applyFont="1" applyFill="1"/>
    <xf numFmtId="0" fontId="16" fillId="8" borderId="0" xfId="0" applyFont="1" applyFill="1" applyAlignment="1">
      <alignment horizontal="center" vertical="center"/>
    </xf>
    <xf numFmtId="0" fontId="0" fillId="8" borderId="0" xfId="0" applyFont="1" applyFill="1"/>
    <xf numFmtId="0" fontId="9" fillId="10" borderId="0" xfId="0" applyFont="1" applyFill="1"/>
    <xf numFmtId="0" fontId="20" fillId="10" borderId="0" xfId="0" applyFont="1" applyFill="1" applyAlignment="1">
      <alignment horizontal="center" vertical="center"/>
    </xf>
    <xf numFmtId="0" fontId="1" fillId="11" borderId="0" xfId="0" applyFont="1" applyFill="1"/>
    <xf numFmtId="0" fontId="16" fillId="11" borderId="0" xfId="0" applyFont="1" applyFill="1" applyAlignment="1">
      <alignment horizontal="center" vertical="center"/>
    </xf>
    <xf numFmtId="22" fontId="1" fillId="11" borderId="0" xfId="0" applyNumberFormat="1" applyFont="1" applyFill="1"/>
    <xf numFmtId="22" fontId="7" fillId="11" borderId="0" xfId="5" applyNumberFormat="1" applyFont="1" applyFill="1"/>
    <xf numFmtId="0" fontId="0" fillId="11" borderId="0" xfId="0" applyFont="1" applyFill="1"/>
    <xf numFmtId="0" fontId="1" fillId="12" borderId="0" xfId="0" applyFont="1" applyFill="1"/>
    <xf numFmtId="0" fontId="16" fillId="12" borderId="0" xfId="0" applyFont="1" applyFill="1" applyAlignment="1">
      <alignment horizontal="center" vertical="center"/>
    </xf>
    <xf numFmtId="22" fontId="7" fillId="12" borderId="0" xfId="5" applyNumberFormat="1" applyFont="1" applyFill="1"/>
    <xf numFmtId="0" fontId="0" fillId="12" borderId="0" xfId="0" applyFont="1" applyFill="1"/>
    <xf numFmtId="0" fontId="0" fillId="0" borderId="0" xfId="0" applyBorder="1"/>
    <xf numFmtId="0" fontId="15" fillId="0" borderId="0" xfId="0" applyFont="1" applyBorder="1" applyAlignment="1">
      <alignment horizontal="center" vertical="center"/>
    </xf>
    <xf numFmtId="0" fontId="0" fillId="7" borderId="0" xfId="0" applyFill="1" applyBorder="1"/>
    <xf numFmtId="22" fontId="0" fillId="7" borderId="0" xfId="0" applyNumberFormat="1" applyFill="1" applyBorder="1"/>
    <xf numFmtId="0" fontId="6" fillId="0" borderId="0" xfId="0" applyFont="1" applyBorder="1"/>
    <xf numFmtId="0" fontId="0" fillId="0" borderId="0" xfId="0" applyFont="1" applyBorder="1"/>
    <xf numFmtId="0" fontId="1" fillId="8" borderId="0" xfId="0" applyFont="1" applyFill="1" applyBorder="1"/>
    <xf numFmtId="0" fontId="16" fillId="8" borderId="0" xfId="0" applyFont="1" applyFill="1" applyBorder="1" applyAlignment="1">
      <alignment horizontal="center" vertical="center"/>
    </xf>
    <xf numFmtId="22" fontId="1" fillId="8" borderId="0" xfId="0" applyNumberFormat="1" applyFont="1" applyFill="1" applyBorder="1"/>
    <xf numFmtId="22" fontId="19" fillId="8" borderId="0" xfId="5" applyNumberFormat="1" applyFont="1" applyFill="1" applyBorder="1"/>
    <xf numFmtId="0" fontId="0" fillId="8" borderId="0" xfId="0" applyFont="1" applyFill="1" applyBorder="1"/>
    <xf numFmtId="0" fontId="1" fillId="9" borderId="0" xfId="0" applyFont="1" applyFill="1" applyBorder="1"/>
    <xf numFmtId="0" fontId="16" fillId="9" borderId="0" xfId="0" applyFont="1" applyFill="1" applyBorder="1" applyAlignment="1">
      <alignment horizontal="center" vertical="center"/>
    </xf>
    <xf numFmtId="22" fontId="19" fillId="9" borderId="0" xfId="5" applyNumberFormat="1" applyFont="1" applyFill="1" applyBorder="1"/>
    <xf numFmtId="9" fontId="1" fillId="9" borderId="0" xfId="0" applyNumberFormat="1" applyFont="1" applyFill="1" applyBorder="1"/>
    <xf numFmtId="9" fontId="8" fillId="9" borderId="0" xfId="6" applyNumberFormat="1" applyFill="1" applyBorder="1"/>
    <xf numFmtId="9" fontId="1" fillId="9" borderId="0" xfId="3" applyFont="1" applyFill="1" applyBorder="1"/>
    <xf numFmtId="22" fontId="5" fillId="7" borderId="0" xfId="5" applyNumberFormat="1" applyFill="1" applyBorder="1"/>
    <xf numFmtId="22" fontId="13" fillId="7" borderId="0" xfId="0" applyNumberFormat="1" applyFont="1" applyFill="1" applyBorder="1"/>
    <xf numFmtId="0" fontId="0" fillId="9" borderId="0" xfId="0" applyFont="1" applyFill="1" applyBorder="1"/>
    <xf numFmtId="22" fontId="11" fillId="7" borderId="0" xfId="0" applyNumberFormat="1" applyFont="1" applyFill="1" applyBorder="1"/>
    <xf numFmtId="22" fontId="14" fillId="7" borderId="0" xfId="0" applyNumberFormat="1" applyFont="1" applyFill="1" applyBorder="1"/>
    <xf numFmtId="0" fontId="14" fillId="7" borderId="0" xfId="0" applyFont="1" applyFill="1" applyBorder="1"/>
    <xf numFmtId="22" fontId="7" fillId="9" borderId="0" xfId="5" applyNumberFormat="1" applyFont="1" applyFill="1" applyBorder="1"/>
    <xf numFmtId="0" fontId="1" fillId="0" borderId="0" xfId="0" applyFont="1" applyBorder="1"/>
    <xf numFmtId="0" fontId="16" fillId="0" borderId="0" xfId="0" applyFont="1" applyBorder="1" applyAlignment="1">
      <alignment horizontal="center" vertical="center"/>
    </xf>
    <xf numFmtId="0" fontId="1" fillId="7" borderId="0" xfId="0" applyFont="1" applyFill="1" applyBorder="1"/>
    <xf numFmtId="22" fontId="1" fillId="7" borderId="0" xfId="0" applyNumberFormat="1" applyFont="1" applyFill="1" applyBorder="1"/>
    <xf numFmtId="22" fontId="7" fillId="7" borderId="0" xfId="5" applyNumberFormat="1" applyFont="1" applyFill="1" applyBorder="1"/>
    <xf numFmtId="0" fontId="5" fillId="7" borderId="0" xfId="5" applyFill="1" applyBorder="1"/>
    <xf numFmtId="9" fontId="8" fillId="4" borderId="0" xfId="6" applyNumberFormat="1" applyBorder="1"/>
    <xf numFmtId="10" fontId="8" fillId="4" borderId="0" xfId="6" applyNumberFormat="1" applyBorder="1"/>
    <xf numFmtId="0" fontId="8" fillId="4" borderId="0" xfId="6" applyBorder="1"/>
    <xf numFmtId="0" fontId="21" fillId="0" borderId="0" xfId="0" applyFont="1"/>
    <xf numFmtId="0" fontId="21" fillId="0" borderId="0" xfId="0" applyFont="1" applyBorder="1"/>
    <xf numFmtId="22" fontId="24" fillId="8" borderId="0" xfId="5" applyNumberFormat="1" applyFont="1" applyFill="1"/>
    <xf numFmtId="22" fontId="21" fillId="11" borderId="0" xfId="0" applyNumberFormat="1" applyFont="1" applyFill="1" applyBorder="1"/>
    <xf numFmtId="22" fontId="22" fillId="11" borderId="0" xfId="0" applyNumberFormat="1" applyFont="1" applyFill="1" applyBorder="1"/>
    <xf numFmtId="22" fontId="9" fillId="13" borderId="0" xfId="0" applyNumberFormat="1" applyFont="1" applyFill="1" applyBorder="1"/>
    <xf numFmtId="22" fontId="22" fillId="14" borderId="0" xfId="0" applyNumberFormat="1" applyFont="1" applyFill="1" applyBorder="1"/>
    <xf numFmtId="22" fontId="21" fillId="14" borderId="0" xfId="0" applyNumberFormat="1" applyFont="1" applyFill="1" applyBorder="1"/>
    <xf numFmtId="22" fontId="10" fillId="12" borderId="0" xfId="0" applyNumberFormat="1" applyFont="1" applyFill="1"/>
    <xf numFmtId="22" fontId="23" fillId="12" borderId="0" xfId="0" applyNumberFormat="1" applyFont="1" applyFill="1"/>
    <xf numFmtId="22" fontId="23" fillId="12" borderId="0" xfId="0" applyNumberFormat="1" applyFont="1" applyFill="1" applyBorder="1"/>
    <xf numFmtId="0" fontId="21" fillId="12" borderId="0" xfId="0" applyFont="1" applyFill="1" applyBorder="1"/>
    <xf numFmtId="0" fontId="21" fillId="11" borderId="0" xfId="0" applyFont="1" applyFill="1" applyBorder="1"/>
    <xf numFmtId="0" fontId="23" fillId="0" borderId="0" xfId="0" applyFont="1"/>
    <xf numFmtId="0" fontId="23" fillId="0" borderId="0" xfId="0" applyFont="1" applyBorder="1"/>
    <xf numFmtId="14" fontId="27" fillId="15" borderId="3" xfId="0" applyNumberFormat="1" applyFont="1" applyFill="1" applyBorder="1" applyAlignment="1">
      <alignment vertical="center" wrapText="1"/>
    </xf>
    <xf numFmtId="49" fontId="26" fillId="15" borderId="3" xfId="0" applyNumberFormat="1" applyFont="1" applyFill="1" applyBorder="1" applyAlignment="1">
      <alignment vertical="center" wrapText="1"/>
    </xf>
    <xf numFmtId="49" fontId="27" fillId="15" borderId="3" xfId="0" applyNumberFormat="1" applyFont="1" applyFill="1" applyBorder="1" applyAlignment="1">
      <alignment vertical="center" wrapText="1"/>
    </xf>
    <xf numFmtId="49" fontId="25" fillId="15" borderId="3" xfId="0" applyNumberFormat="1" applyFont="1" applyFill="1" applyBorder="1" applyAlignment="1">
      <alignment vertical="center" wrapText="1"/>
    </xf>
    <xf numFmtId="49" fontId="28" fillId="15" borderId="3" xfId="0" applyNumberFormat="1" applyFont="1" applyFill="1" applyBorder="1" applyAlignment="1">
      <alignment vertical="center" wrapText="1"/>
    </xf>
    <xf numFmtId="49" fontId="0" fillId="0" borderId="0" xfId="0" applyNumberFormat="1"/>
    <xf numFmtId="22" fontId="29" fillId="7" borderId="0" xfId="0" applyNumberFormat="1" applyFont="1" applyFill="1"/>
    <xf numFmtId="22" fontId="29" fillId="7" borderId="0" xfId="0" applyNumberFormat="1" applyFont="1" applyFill="1" applyBorder="1"/>
    <xf numFmtId="22" fontId="9" fillId="10" borderId="0" xfId="0" applyNumberFormat="1" applyFont="1" applyFill="1"/>
    <xf numFmtId="0" fontId="25" fillId="0" borderId="3" xfId="0" applyFont="1" applyBorder="1" applyAlignment="1">
      <alignment vertical="center"/>
    </xf>
    <xf numFmtId="0" fontId="25" fillId="0" borderId="0" xfId="0" applyFont="1" applyBorder="1" applyAlignment="1">
      <alignment vertical="center"/>
    </xf>
  </cellXfs>
  <cellStyles count="8">
    <cellStyle name="60% — акцент5" xfId="4" builtinId="48"/>
    <cellStyle name="Вывод" xfId="6" builtinId="21"/>
    <cellStyle name="Гиперссылка" xfId="1" builtinId="8"/>
    <cellStyle name="Денежный" xfId="2" builtinId="4"/>
    <cellStyle name="Контрольная ячейка" xfId="7" builtinId="23"/>
    <cellStyle name="Нейтральный" xfId="5" builtinId="28"/>
    <cellStyle name="Обычный" xfId="0" builtinId="0"/>
    <cellStyle name="Процентный" xfId="3" builtinId="5"/>
  </cellStyles>
  <dxfs count="20">
    <dxf>
      <font>
        <color rgb="FF9C0006"/>
      </font>
    </dxf>
    <dxf>
      <font>
        <color rgb="FF7030A0"/>
      </font>
      <fill>
        <patternFill patternType="none">
          <bgColor auto="1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theme="4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FFC7CE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361950</xdr:colOff>
          <xdr:row>2</xdr:row>
          <xdr:rowOff>114300</xdr:rowOff>
        </xdr:from>
        <xdr:to>
          <xdr:col>5</xdr:col>
          <xdr:colOff>333375</xdr:colOff>
          <xdr:row>7</xdr:row>
          <xdr:rowOff>57150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Импорт проекта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www.cyberforum.ru/vba/thread1585773.html?ysclid=lb3i32yc83800770223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ED6BD1-DC07-4EFC-B7C9-B5CD4F6C5A30}">
  <sheetPr codeName="Лист6"/>
  <dimension ref="A1:P326"/>
  <sheetViews>
    <sheetView workbookViewId="0">
      <selection activeCell="A258" sqref="A258"/>
    </sheetView>
  </sheetViews>
  <sheetFormatPr defaultRowHeight="15" x14ac:dyDescent="0.25"/>
  <cols>
    <col min="2" max="2" width="19.140625" customWidth="1"/>
    <col min="11" max="13" width="17.85546875" customWidth="1"/>
    <col min="15" max="15" width="24.42578125" customWidth="1"/>
    <col min="16" max="16" width="9.140625" style="6"/>
  </cols>
  <sheetData>
    <row r="1" spans="1:16" x14ac:dyDescent="0.25">
      <c r="A1">
        <v>0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 t="s">
        <v>0</v>
      </c>
      <c r="J1" t="s">
        <v>1</v>
      </c>
      <c r="K1" t="s">
        <v>2</v>
      </c>
      <c r="L1" t="s">
        <v>3</v>
      </c>
      <c r="M1" t="s">
        <v>4</v>
      </c>
      <c r="N1" t="s">
        <v>5</v>
      </c>
      <c r="O1" t="s">
        <v>6</v>
      </c>
      <c r="P1" s="6" t="s">
        <v>351</v>
      </c>
    </row>
    <row r="2" spans="1:16" s="2" customFormat="1" x14ac:dyDescent="0.25">
      <c r="B2" s="2" t="s">
        <v>7</v>
      </c>
      <c r="I2" s="2">
        <v>1</v>
      </c>
      <c r="J2" s="2">
        <v>111</v>
      </c>
      <c r="K2" s="3">
        <v>44789.75</v>
      </c>
      <c r="L2" s="3">
        <v>44944.75</v>
      </c>
      <c r="P2" s="5">
        <v>0</v>
      </c>
    </row>
    <row r="3" spans="1:16" x14ac:dyDescent="0.25">
      <c r="B3" s="7"/>
      <c r="C3" t="s">
        <v>8</v>
      </c>
      <c r="I3">
        <v>2</v>
      </c>
      <c r="J3">
        <v>0</v>
      </c>
      <c r="K3" s="1">
        <v>44789.75</v>
      </c>
      <c r="L3" s="1">
        <v>44789.75</v>
      </c>
      <c r="M3">
        <v>88</v>
      </c>
      <c r="P3" s="6">
        <v>1</v>
      </c>
    </row>
    <row r="4" spans="1:16" x14ac:dyDescent="0.25">
      <c r="C4" t="s">
        <v>9</v>
      </c>
      <c r="I4">
        <v>3</v>
      </c>
      <c r="J4">
        <v>0</v>
      </c>
      <c r="K4" s="1">
        <v>44900.541666666664</v>
      </c>
      <c r="L4" s="1">
        <v>44900.541666666664</v>
      </c>
      <c r="M4" t="s">
        <v>314</v>
      </c>
      <c r="P4" s="6">
        <v>1</v>
      </c>
    </row>
    <row r="5" spans="1:16" x14ac:dyDescent="0.25">
      <c r="C5" t="s">
        <v>10</v>
      </c>
      <c r="I5">
        <v>4</v>
      </c>
      <c r="J5">
        <v>0</v>
      </c>
      <c r="K5" s="1">
        <v>44838.75</v>
      </c>
      <c r="L5" s="1">
        <v>44838.75</v>
      </c>
      <c r="M5">
        <v>225</v>
      </c>
      <c r="P5" s="6">
        <v>1</v>
      </c>
    </row>
    <row r="6" spans="1:16" x14ac:dyDescent="0.25">
      <c r="C6" t="s">
        <v>11</v>
      </c>
      <c r="I6">
        <v>5</v>
      </c>
      <c r="J6">
        <v>0</v>
      </c>
      <c r="K6" s="1">
        <v>44886.375</v>
      </c>
      <c r="L6" s="1">
        <v>44886.375</v>
      </c>
      <c r="P6" s="6">
        <v>1</v>
      </c>
    </row>
    <row r="7" spans="1:16" x14ac:dyDescent="0.25">
      <c r="C7" t="s">
        <v>12</v>
      </c>
      <c r="I7">
        <v>6</v>
      </c>
      <c r="J7">
        <v>0</v>
      </c>
      <c r="K7" s="1">
        <v>44923.5</v>
      </c>
      <c r="L7" s="1">
        <v>44923.5</v>
      </c>
      <c r="M7" t="s">
        <v>315</v>
      </c>
      <c r="P7" s="6">
        <v>0</v>
      </c>
    </row>
    <row r="8" spans="1:16" x14ac:dyDescent="0.25">
      <c r="C8" t="s">
        <v>13</v>
      </c>
      <c r="I8">
        <v>7</v>
      </c>
      <c r="J8">
        <v>0</v>
      </c>
      <c r="K8" s="1">
        <v>44944.75</v>
      </c>
      <c r="L8" s="1">
        <v>44944.75</v>
      </c>
      <c r="M8" t="s">
        <v>316</v>
      </c>
      <c r="P8" s="6">
        <v>0</v>
      </c>
    </row>
    <row r="9" spans="1:16" s="2" customFormat="1" x14ac:dyDescent="0.25">
      <c r="B9" t="s">
        <v>14</v>
      </c>
      <c r="C9"/>
      <c r="D9"/>
      <c r="E9"/>
      <c r="F9"/>
      <c r="G9"/>
      <c r="H9"/>
      <c r="I9" s="2">
        <v>8</v>
      </c>
      <c r="J9" s="2">
        <v>58</v>
      </c>
      <c r="K9" s="3">
        <v>44887.75</v>
      </c>
      <c r="L9" s="3">
        <v>44970.375</v>
      </c>
      <c r="P9" s="5">
        <v>0</v>
      </c>
    </row>
    <row r="10" spans="1:16" s="2" customFormat="1" x14ac:dyDescent="0.25">
      <c r="B10"/>
      <c r="C10" t="s">
        <v>15</v>
      </c>
      <c r="D10"/>
      <c r="E10"/>
      <c r="F10"/>
      <c r="G10"/>
      <c r="H10"/>
      <c r="I10" s="2">
        <v>9</v>
      </c>
      <c r="J10" s="2">
        <v>40</v>
      </c>
      <c r="K10" s="3">
        <v>44914.375</v>
      </c>
      <c r="L10" s="3">
        <v>44970.375</v>
      </c>
      <c r="P10" s="5">
        <v>0</v>
      </c>
    </row>
    <row r="11" spans="1:16" x14ac:dyDescent="0.25">
      <c r="D11" t="s">
        <v>16</v>
      </c>
      <c r="I11">
        <v>10</v>
      </c>
      <c r="J11">
        <v>0</v>
      </c>
      <c r="K11" s="1">
        <v>44914.375</v>
      </c>
      <c r="L11" s="1">
        <v>44914.375</v>
      </c>
      <c r="N11">
        <v>11</v>
      </c>
      <c r="P11" s="6">
        <v>1</v>
      </c>
    </row>
    <row r="12" spans="1:16" x14ac:dyDescent="0.25">
      <c r="D12" t="s">
        <v>17</v>
      </c>
      <c r="I12">
        <v>11</v>
      </c>
      <c r="J12">
        <v>0</v>
      </c>
      <c r="K12" s="1">
        <v>44914.375</v>
      </c>
      <c r="L12" s="1">
        <v>44914.375</v>
      </c>
      <c r="M12">
        <v>10</v>
      </c>
      <c r="N12">
        <v>12</v>
      </c>
      <c r="P12" s="6">
        <v>1</v>
      </c>
    </row>
    <row r="13" spans="1:16" x14ac:dyDescent="0.25">
      <c r="D13" t="s">
        <v>18</v>
      </c>
      <c r="I13">
        <v>12</v>
      </c>
      <c r="J13">
        <v>0</v>
      </c>
      <c r="K13" s="1">
        <v>44914.375</v>
      </c>
      <c r="L13" s="1">
        <v>44914.375</v>
      </c>
      <c r="M13">
        <v>11</v>
      </c>
      <c r="N13" t="s">
        <v>317</v>
      </c>
      <c r="P13" s="6">
        <v>0</v>
      </c>
    </row>
    <row r="14" spans="1:16" x14ac:dyDescent="0.25">
      <c r="D14" t="s">
        <v>19</v>
      </c>
      <c r="I14">
        <v>13</v>
      </c>
      <c r="J14">
        <v>0</v>
      </c>
      <c r="K14" s="1">
        <v>44949.375</v>
      </c>
      <c r="L14" s="1">
        <v>44949.375</v>
      </c>
      <c r="P14" s="6">
        <v>0</v>
      </c>
    </row>
    <row r="15" spans="1:16" x14ac:dyDescent="0.25">
      <c r="D15" t="s">
        <v>20</v>
      </c>
      <c r="I15">
        <v>14</v>
      </c>
      <c r="J15">
        <v>0</v>
      </c>
      <c r="K15" s="1">
        <v>44949.375</v>
      </c>
      <c r="L15" s="1">
        <v>44949.375</v>
      </c>
      <c r="P15" s="6">
        <v>0</v>
      </c>
    </row>
    <row r="16" spans="1:16" x14ac:dyDescent="0.25">
      <c r="D16" t="s">
        <v>21</v>
      </c>
      <c r="I16">
        <v>15</v>
      </c>
      <c r="J16">
        <v>0</v>
      </c>
      <c r="K16" s="1">
        <v>44949.375</v>
      </c>
      <c r="L16" s="1">
        <v>44949.375</v>
      </c>
      <c r="P16" s="6">
        <v>0</v>
      </c>
    </row>
    <row r="17" spans="3:16" x14ac:dyDescent="0.25">
      <c r="D17" t="s">
        <v>22</v>
      </c>
      <c r="I17">
        <v>16</v>
      </c>
      <c r="J17">
        <v>0</v>
      </c>
      <c r="K17" s="1">
        <v>44949.375</v>
      </c>
      <c r="L17" s="1">
        <v>44949.375</v>
      </c>
      <c r="P17" s="6">
        <v>0</v>
      </c>
    </row>
    <row r="18" spans="3:16" x14ac:dyDescent="0.25">
      <c r="D18" t="s">
        <v>23</v>
      </c>
      <c r="I18">
        <v>17</v>
      </c>
      <c r="J18">
        <v>0</v>
      </c>
      <c r="K18" s="1">
        <v>44970.375</v>
      </c>
      <c r="L18" s="1">
        <v>44970.375</v>
      </c>
      <c r="P18" s="6">
        <v>0</v>
      </c>
    </row>
    <row r="19" spans="3:16" x14ac:dyDescent="0.25">
      <c r="D19" t="s">
        <v>24</v>
      </c>
      <c r="I19">
        <v>18</v>
      </c>
      <c r="J19">
        <v>0</v>
      </c>
      <c r="K19" s="1">
        <v>44970.375</v>
      </c>
      <c r="L19" s="1">
        <v>44970.375</v>
      </c>
      <c r="P19" s="6">
        <v>0</v>
      </c>
    </row>
    <row r="20" spans="3:16" x14ac:dyDescent="0.25">
      <c r="D20" t="s">
        <v>25</v>
      </c>
      <c r="I20">
        <v>19</v>
      </c>
      <c r="J20">
        <v>0</v>
      </c>
      <c r="K20" s="1">
        <v>44970.375</v>
      </c>
      <c r="L20" s="1">
        <v>44970.375</v>
      </c>
      <c r="P20" s="6">
        <v>0</v>
      </c>
    </row>
    <row r="21" spans="3:16" x14ac:dyDescent="0.25">
      <c r="D21" t="s">
        <v>26</v>
      </c>
      <c r="I21">
        <v>20</v>
      </c>
      <c r="J21">
        <v>0</v>
      </c>
      <c r="K21" s="1">
        <v>44970.375</v>
      </c>
      <c r="L21" s="1">
        <v>44970.375</v>
      </c>
      <c r="P21" s="6">
        <v>0</v>
      </c>
    </row>
    <row r="22" spans="3:16" x14ac:dyDescent="0.25">
      <c r="D22" t="s">
        <v>27</v>
      </c>
      <c r="I22">
        <v>21</v>
      </c>
      <c r="J22">
        <v>0</v>
      </c>
      <c r="K22" s="1">
        <v>44970.375</v>
      </c>
      <c r="L22" s="1">
        <v>44970.375</v>
      </c>
      <c r="P22" s="6">
        <v>0</v>
      </c>
    </row>
    <row r="23" spans="3:16" x14ac:dyDescent="0.25">
      <c r="D23" t="s">
        <v>28</v>
      </c>
      <c r="I23">
        <v>22</v>
      </c>
      <c r="J23">
        <v>0</v>
      </c>
      <c r="K23" s="1">
        <v>44970.375</v>
      </c>
      <c r="L23" s="1">
        <v>44970.375</v>
      </c>
      <c r="N23">
        <v>80</v>
      </c>
      <c r="P23" s="6">
        <v>0</v>
      </c>
    </row>
    <row r="24" spans="3:16" s="2" customFormat="1" x14ac:dyDescent="0.25">
      <c r="C24" s="2" t="s">
        <v>29</v>
      </c>
      <c r="I24" s="2">
        <v>23</v>
      </c>
      <c r="J24" s="2">
        <v>5</v>
      </c>
      <c r="K24" s="3">
        <v>44887.75</v>
      </c>
      <c r="L24" s="3">
        <v>44895.375</v>
      </c>
      <c r="M24" s="2">
        <v>229</v>
      </c>
      <c r="P24" s="5">
        <v>0</v>
      </c>
    </row>
    <row r="25" spans="3:16" x14ac:dyDescent="0.25">
      <c r="D25" t="s">
        <v>30</v>
      </c>
      <c r="I25">
        <v>24</v>
      </c>
      <c r="J25">
        <v>0</v>
      </c>
      <c r="K25" s="1">
        <v>44895.375</v>
      </c>
      <c r="L25" s="1">
        <v>44895.375</v>
      </c>
      <c r="P25" s="6">
        <v>0</v>
      </c>
    </row>
    <row r="26" spans="3:16" x14ac:dyDescent="0.25">
      <c r="D26" t="s">
        <v>31</v>
      </c>
      <c r="I26">
        <v>25</v>
      </c>
      <c r="J26">
        <v>0</v>
      </c>
      <c r="K26" s="1">
        <v>44887.75</v>
      </c>
      <c r="L26" s="1">
        <v>44887.75</v>
      </c>
      <c r="P26" s="6">
        <v>1</v>
      </c>
    </row>
    <row r="27" spans="3:16" x14ac:dyDescent="0.25">
      <c r="D27" t="s">
        <v>32</v>
      </c>
      <c r="I27">
        <v>26</v>
      </c>
      <c r="J27">
        <v>0</v>
      </c>
      <c r="K27" s="1">
        <v>44887.75</v>
      </c>
      <c r="L27" s="1">
        <v>44887.75</v>
      </c>
      <c r="P27" s="6">
        <v>1</v>
      </c>
    </row>
    <row r="28" spans="3:16" x14ac:dyDescent="0.25">
      <c r="D28" t="s">
        <v>33</v>
      </c>
      <c r="I28">
        <v>27</v>
      </c>
      <c r="J28">
        <v>0</v>
      </c>
      <c r="K28" s="1">
        <v>44887.75</v>
      </c>
      <c r="L28" s="1">
        <v>44887.75</v>
      </c>
      <c r="P28" s="6">
        <v>1</v>
      </c>
    </row>
    <row r="29" spans="3:16" x14ac:dyDescent="0.25">
      <c r="D29" t="s">
        <v>34</v>
      </c>
      <c r="I29">
        <v>28</v>
      </c>
      <c r="J29">
        <v>0</v>
      </c>
      <c r="K29" s="1">
        <v>44887.75</v>
      </c>
      <c r="L29" s="1">
        <v>44887.75</v>
      </c>
      <c r="P29" s="6">
        <v>1</v>
      </c>
    </row>
    <row r="30" spans="3:16" x14ac:dyDescent="0.25">
      <c r="D30" t="s">
        <v>35</v>
      </c>
      <c r="I30">
        <v>29</v>
      </c>
      <c r="J30">
        <v>0</v>
      </c>
      <c r="K30" s="1">
        <v>44887.75</v>
      </c>
      <c r="L30" s="1">
        <v>44887.75</v>
      </c>
      <c r="P30" s="6">
        <v>1</v>
      </c>
    </row>
    <row r="31" spans="3:16" x14ac:dyDescent="0.25">
      <c r="D31" t="s">
        <v>36</v>
      </c>
      <c r="I31">
        <v>30</v>
      </c>
      <c r="J31">
        <v>0</v>
      </c>
      <c r="K31" s="1">
        <v>44887.75</v>
      </c>
      <c r="L31" s="1">
        <v>44887.75</v>
      </c>
      <c r="P31" s="6">
        <v>1</v>
      </c>
    </row>
    <row r="32" spans="3:16" x14ac:dyDescent="0.25">
      <c r="D32" t="s">
        <v>37</v>
      </c>
      <c r="I32">
        <v>31</v>
      </c>
      <c r="J32">
        <v>0</v>
      </c>
      <c r="K32" s="1">
        <v>44887.75</v>
      </c>
      <c r="L32" s="1">
        <v>44887.75</v>
      </c>
      <c r="P32" s="6">
        <v>1</v>
      </c>
    </row>
    <row r="33" spans="3:16" s="2" customFormat="1" x14ac:dyDescent="0.25">
      <c r="C33" s="2" t="s">
        <v>38</v>
      </c>
      <c r="I33" s="2">
        <v>32</v>
      </c>
      <c r="J33" s="2">
        <v>0</v>
      </c>
      <c r="K33" s="3">
        <v>44893.375</v>
      </c>
      <c r="L33" s="3">
        <v>44893.375</v>
      </c>
      <c r="M33" s="2">
        <v>232</v>
      </c>
      <c r="P33" s="5">
        <v>1</v>
      </c>
    </row>
    <row r="34" spans="3:16" x14ac:dyDescent="0.25">
      <c r="D34" t="s">
        <v>39</v>
      </c>
      <c r="I34">
        <v>33</v>
      </c>
      <c r="J34">
        <v>0</v>
      </c>
      <c r="K34" s="1">
        <v>44893.375</v>
      </c>
      <c r="L34" s="1">
        <v>44893.375</v>
      </c>
      <c r="O34" t="s">
        <v>40</v>
      </c>
      <c r="P34" s="6">
        <v>1</v>
      </c>
    </row>
    <row r="35" spans="3:16" x14ac:dyDescent="0.25">
      <c r="D35" t="s">
        <v>41</v>
      </c>
      <c r="I35">
        <v>34</v>
      </c>
      <c r="J35">
        <v>0</v>
      </c>
      <c r="K35" s="1">
        <v>44893.375</v>
      </c>
      <c r="L35" s="1">
        <v>44893.375</v>
      </c>
      <c r="O35" t="s">
        <v>40</v>
      </c>
      <c r="P35" s="6">
        <v>1</v>
      </c>
    </row>
    <row r="36" spans="3:16" x14ac:dyDescent="0.25">
      <c r="D36" t="s">
        <v>42</v>
      </c>
      <c r="I36">
        <v>35</v>
      </c>
      <c r="J36">
        <v>0</v>
      </c>
      <c r="K36" s="1">
        <v>44893.375</v>
      </c>
      <c r="L36" s="1">
        <v>44893.375</v>
      </c>
      <c r="O36" t="s">
        <v>43</v>
      </c>
      <c r="P36" s="6">
        <v>1</v>
      </c>
    </row>
    <row r="37" spans="3:16" x14ac:dyDescent="0.25">
      <c r="D37" t="s">
        <v>44</v>
      </c>
      <c r="I37">
        <v>36</v>
      </c>
      <c r="J37">
        <v>0</v>
      </c>
      <c r="K37" s="1">
        <v>44893.375</v>
      </c>
      <c r="L37" s="1">
        <v>44893.375</v>
      </c>
      <c r="O37" t="s">
        <v>45</v>
      </c>
      <c r="P37" s="6">
        <v>1</v>
      </c>
    </row>
    <row r="38" spans="3:16" x14ac:dyDescent="0.25">
      <c r="D38" t="s">
        <v>46</v>
      </c>
      <c r="I38">
        <v>37</v>
      </c>
      <c r="J38">
        <v>0</v>
      </c>
      <c r="K38" s="1">
        <v>44893.375</v>
      </c>
      <c r="L38" s="1">
        <v>44893.375</v>
      </c>
      <c r="O38" t="s">
        <v>43</v>
      </c>
      <c r="P38" s="6">
        <v>1</v>
      </c>
    </row>
    <row r="39" spans="3:16" x14ac:dyDescent="0.25">
      <c r="D39" t="s">
        <v>47</v>
      </c>
      <c r="I39">
        <v>38</v>
      </c>
      <c r="J39">
        <v>0</v>
      </c>
      <c r="K39" s="1">
        <v>44893.375</v>
      </c>
      <c r="L39" s="1">
        <v>44893.375</v>
      </c>
      <c r="O39" t="s">
        <v>40</v>
      </c>
      <c r="P39" s="6">
        <v>1</v>
      </c>
    </row>
    <row r="40" spans="3:16" x14ac:dyDescent="0.25">
      <c r="D40" t="s">
        <v>48</v>
      </c>
      <c r="I40">
        <v>39</v>
      </c>
      <c r="J40">
        <v>0</v>
      </c>
      <c r="K40" s="1">
        <v>44893.375</v>
      </c>
      <c r="L40" s="1">
        <v>44893.375</v>
      </c>
      <c r="O40" t="s">
        <v>40</v>
      </c>
      <c r="P40" s="6">
        <v>1</v>
      </c>
    </row>
    <row r="41" spans="3:16" x14ac:dyDescent="0.25">
      <c r="D41" t="s">
        <v>49</v>
      </c>
      <c r="I41">
        <v>40</v>
      </c>
      <c r="J41">
        <v>0</v>
      </c>
      <c r="K41" s="1">
        <v>44893.375</v>
      </c>
      <c r="L41" s="1">
        <v>44893.375</v>
      </c>
      <c r="P41" s="6">
        <v>1</v>
      </c>
    </row>
    <row r="42" spans="3:16" x14ac:dyDescent="0.25">
      <c r="D42" t="s">
        <v>50</v>
      </c>
      <c r="I42">
        <v>41</v>
      </c>
      <c r="J42">
        <v>0</v>
      </c>
      <c r="K42" s="1">
        <v>44893.375</v>
      </c>
      <c r="L42" s="1">
        <v>44893.375</v>
      </c>
      <c r="O42" t="s">
        <v>51</v>
      </c>
      <c r="P42" s="6">
        <v>1</v>
      </c>
    </row>
    <row r="43" spans="3:16" x14ac:dyDescent="0.25">
      <c r="D43" t="s">
        <v>52</v>
      </c>
      <c r="I43">
        <v>42</v>
      </c>
      <c r="J43">
        <v>0</v>
      </c>
      <c r="K43" s="1">
        <v>44893.375</v>
      </c>
      <c r="L43" s="1">
        <v>44893.375</v>
      </c>
      <c r="O43" t="s">
        <v>51</v>
      </c>
      <c r="P43" s="6">
        <v>1</v>
      </c>
    </row>
    <row r="44" spans="3:16" x14ac:dyDescent="0.25">
      <c r="D44" t="s">
        <v>53</v>
      </c>
      <c r="I44">
        <v>43</v>
      </c>
      <c r="J44">
        <v>0</v>
      </c>
      <c r="K44" s="1">
        <v>44893.375</v>
      </c>
      <c r="L44" s="1">
        <v>44893.375</v>
      </c>
      <c r="O44" t="s">
        <v>54</v>
      </c>
      <c r="P44" s="6">
        <v>1</v>
      </c>
    </row>
    <row r="45" spans="3:16" x14ac:dyDescent="0.25">
      <c r="D45" t="s">
        <v>55</v>
      </c>
      <c r="I45">
        <v>44</v>
      </c>
      <c r="J45">
        <v>0</v>
      </c>
      <c r="K45" s="1">
        <v>44893.375</v>
      </c>
      <c r="L45" s="1">
        <v>44893.375</v>
      </c>
      <c r="O45" t="s">
        <v>54</v>
      </c>
      <c r="P45" s="6">
        <v>1</v>
      </c>
    </row>
    <row r="46" spans="3:16" s="2" customFormat="1" x14ac:dyDescent="0.25">
      <c r="C46" s="2" t="s">
        <v>56</v>
      </c>
      <c r="I46" s="2">
        <v>45</v>
      </c>
      <c r="J46" s="2">
        <v>2.5</v>
      </c>
      <c r="K46" s="3">
        <v>44914.75</v>
      </c>
      <c r="L46" s="3">
        <v>44917.541666666664</v>
      </c>
      <c r="M46" s="2">
        <v>246</v>
      </c>
      <c r="P46" s="5">
        <v>0</v>
      </c>
    </row>
    <row r="47" spans="3:16" x14ac:dyDescent="0.25">
      <c r="D47" t="s">
        <v>57</v>
      </c>
      <c r="I47">
        <v>46</v>
      </c>
      <c r="J47">
        <v>0</v>
      </c>
      <c r="K47" s="1">
        <v>44914.75</v>
      </c>
      <c r="L47" s="1">
        <v>44914.75</v>
      </c>
      <c r="O47" t="s">
        <v>51</v>
      </c>
      <c r="P47" s="6">
        <v>1</v>
      </c>
    </row>
    <row r="48" spans="3:16" x14ac:dyDescent="0.25">
      <c r="D48" t="s">
        <v>58</v>
      </c>
      <c r="I48">
        <v>47</v>
      </c>
      <c r="J48">
        <v>0</v>
      </c>
      <c r="K48" s="1">
        <v>44914.75</v>
      </c>
      <c r="L48" s="1">
        <v>44914.75</v>
      </c>
      <c r="O48" t="s">
        <v>59</v>
      </c>
      <c r="P48" s="6">
        <v>1</v>
      </c>
    </row>
    <row r="49" spans="3:16" x14ac:dyDescent="0.25">
      <c r="D49" t="s">
        <v>60</v>
      </c>
      <c r="I49">
        <v>48</v>
      </c>
      <c r="J49">
        <v>0</v>
      </c>
      <c r="K49" s="1">
        <v>44914.75</v>
      </c>
      <c r="L49" s="1">
        <v>44914.75</v>
      </c>
      <c r="O49" t="s">
        <v>51</v>
      </c>
      <c r="P49" s="6">
        <v>1</v>
      </c>
    </row>
    <row r="50" spans="3:16" x14ac:dyDescent="0.25">
      <c r="D50" t="s">
        <v>61</v>
      </c>
      <c r="I50">
        <v>49</v>
      </c>
      <c r="J50">
        <v>0</v>
      </c>
      <c r="K50" s="1">
        <v>44914.75</v>
      </c>
      <c r="L50" s="1">
        <v>44914.75</v>
      </c>
      <c r="O50" t="s">
        <v>51</v>
      </c>
      <c r="P50" s="6">
        <v>1</v>
      </c>
    </row>
    <row r="51" spans="3:16" x14ac:dyDescent="0.25">
      <c r="D51" t="s">
        <v>62</v>
      </c>
      <c r="I51">
        <v>50</v>
      </c>
      <c r="J51">
        <v>0</v>
      </c>
      <c r="K51" s="1">
        <v>44914.75</v>
      </c>
      <c r="L51" s="1">
        <v>44914.75</v>
      </c>
      <c r="O51" t="s">
        <v>51</v>
      </c>
      <c r="P51" s="6">
        <v>1</v>
      </c>
    </row>
    <row r="52" spans="3:16" x14ac:dyDescent="0.25">
      <c r="D52" t="s">
        <v>63</v>
      </c>
      <c r="I52">
        <v>51</v>
      </c>
      <c r="J52">
        <v>0</v>
      </c>
      <c r="K52" s="1">
        <v>44914.75</v>
      </c>
      <c r="L52" s="1">
        <v>44914.75</v>
      </c>
      <c r="O52" t="s">
        <v>51</v>
      </c>
      <c r="P52" s="6">
        <v>1</v>
      </c>
    </row>
    <row r="53" spans="3:16" x14ac:dyDescent="0.25">
      <c r="D53" t="s">
        <v>64</v>
      </c>
      <c r="I53">
        <v>52</v>
      </c>
      <c r="J53">
        <v>0</v>
      </c>
      <c r="K53" s="1">
        <v>44914.75</v>
      </c>
      <c r="L53" s="1">
        <v>44914.75</v>
      </c>
      <c r="O53" t="s">
        <v>51</v>
      </c>
      <c r="P53" s="6">
        <v>1</v>
      </c>
    </row>
    <row r="54" spans="3:16" x14ac:dyDescent="0.25">
      <c r="D54" t="s">
        <v>65</v>
      </c>
      <c r="I54">
        <v>53</v>
      </c>
      <c r="J54">
        <v>0</v>
      </c>
      <c r="K54" s="1">
        <v>44914.75</v>
      </c>
      <c r="L54" s="1">
        <v>44914.75</v>
      </c>
      <c r="P54" s="6">
        <v>1</v>
      </c>
    </row>
    <row r="55" spans="3:16" x14ac:dyDescent="0.25">
      <c r="D55" t="s">
        <v>66</v>
      </c>
      <c r="I55">
        <v>54</v>
      </c>
      <c r="J55">
        <v>0</v>
      </c>
      <c r="K55" s="1">
        <v>44914.75</v>
      </c>
      <c r="L55" s="1">
        <v>44914.75</v>
      </c>
      <c r="O55" t="s">
        <v>51</v>
      </c>
      <c r="P55" s="6">
        <v>1</v>
      </c>
    </row>
    <row r="56" spans="3:16" x14ac:dyDescent="0.25">
      <c r="D56" t="s">
        <v>67</v>
      </c>
      <c r="I56">
        <v>55</v>
      </c>
      <c r="J56">
        <v>0</v>
      </c>
      <c r="K56" s="1">
        <v>44914.75</v>
      </c>
      <c r="L56" s="1">
        <v>44914.75</v>
      </c>
      <c r="O56" t="s">
        <v>51</v>
      </c>
      <c r="P56" s="6">
        <v>1</v>
      </c>
    </row>
    <row r="57" spans="3:16" x14ac:dyDescent="0.25">
      <c r="D57" t="s">
        <v>68</v>
      </c>
      <c r="I57">
        <v>56</v>
      </c>
      <c r="J57">
        <v>0</v>
      </c>
      <c r="K57" s="1">
        <v>44917.541666666664</v>
      </c>
      <c r="L57" s="1">
        <v>44917.541666666664</v>
      </c>
      <c r="O57" t="s">
        <v>51</v>
      </c>
      <c r="P57" s="6">
        <v>0</v>
      </c>
    </row>
    <row r="58" spans="3:16" x14ac:dyDescent="0.25">
      <c r="D58" t="s">
        <v>69</v>
      </c>
      <c r="I58">
        <v>57</v>
      </c>
      <c r="J58">
        <v>0</v>
      </c>
      <c r="K58" s="1">
        <v>44917.541666666664</v>
      </c>
      <c r="L58" s="1">
        <v>44917.541666666664</v>
      </c>
      <c r="P58" s="6">
        <v>0</v>
      </c>
    </row>
    <row r="59" spans="3:16" s="2" customFormat="1" x14ac:dyDescent="0.25">
      <c r="C59" s="2" t="s">
        <v>70</v>
      </c>
      <c r="I59" s="2">
        <v>58</v>
      </c>
      <c r="J59" s="2">
        <v>0</v>
      </c>
      <c r="K59" s="3">
        <v>44916.5</v>
      </c>
      <c r="L59" s="3">
        <v>44916.5</v>
      </c>
      <c r="M59" s="2">
        <v>145</v>
      </c>
      <c r="P59" s="5">
        <v>0</v>
      </c>
    </row>
    <row r="60" spans="3:16" x14ac:dyDescent="0.25">
      <c r="D60" t="s">
        <v>71</v>
      </c>
      <c r="I60">
        <v>59</v>
      </c>
      <c r="J60">
        <v>0</v>
      </c>
      <c r="K60" s="1">
        <v>44916.5</v>
      </c>
      <c r="L60" s="1">
        <v>44916.5</v>
      </c>
      <c r="P60" s="6">
        <v>0</v>
      </c>
    </row>
    <row r="61" spans="3:16" x14ac:dyDescent="0.25">
      <c r="D61" t="s">
        <v>72</v>
      </c>
      <c r="I61">
        <v>60</v>
      </c>
      <c r="J61">
        <v>0</v>
      </c>
      <c r="K61" s="1">
        <v>44916.5</v>
      </c>
      <c r="L61" s="1">
        <v>44916.5</v>
      </c>
      <c r="P61" s="6">
        <v>0</v>
      </c>
    </row>
    <row r="62" spans="3:16" s="2" customFormat="1" x14ac:dyDescent="0.25">
      <c r="D62" s="2" t="s">
        <v>73</v>
      </c>
      <c r="I62" s="2">
        <v>61</v>
      </c>
      <c r="J62" s="2">
        <v>0</v>
      </c>
      <c r="K62" s="3">
        <v>44916.5</v>
      </c>
      <c r="L62" s="3">
        <v>44916.5</v>
      </c>
      <c r="P62" s="5">
        <v>0</v>
      </c>
    </row>
    <row r="63" spans="3:16" x14ac:dyDescent="0.25">
      <c r="E63" t="s">
        <v>74</v>
      </c>
      <c r="I63">
        <v>62</v>
      </c>
      <c r="J63">
        <v>0</v>
      </c>
      <c r="K63" s="1">
        <v>44916.5</v>
      </c>
      <c r="L63" s="1">
        <v>44916.5</v>
      </c>
      <c r="P63" s="6">
        <v>0</v>
      </c>
    </row>
    <row r="64" spans="3:16" x14ac:dyDescent="0.25">
      <c r="E64" t="s">
        <v>75</v>
      </c>
      <c r="I64">
        <v>63</v>
      </c>
      <c r="J64">
        <v>0</v>
      </c>
      <c r="K64" s="1">
        <v>44916.5</v>
      </c>
      <c r="L64" s="1">
        <v>44916.5</v>
      </c>
      <c r="P64" s="6">
        <v>0</v>
      </c>
    </row>
    <row r="65" spans="2:16" x14ac:dyDescent="0.25">
      <c r="E65" t="s">
        <v>76</v>
      </c>
      <c r="I65">
        <v>64</v>
      </c>
      <c r="J65">
        <v>0</v>
      </c>
      <c r="K65" s="1">
        <v>44916.5</v>
      </c>
      <c r="L65" s="1">
        <v>44916.5</v>
      </c>
      <c r="P65" s="6">
        <v>0</v>
      </c>
    </row>
    <row r="66" spans="2:16" x14ac:dyDescent="0.25">
      <c r="E66" t="s">
        <v>77</v>
      </c>
      <c r="I66">
        <v>65</v>
      </c>
      <c r="J66">
        <v>0</v>
      </c>
      <c r="K66" s="1">
        <v>44916.5</v>
      </c>
      <c r="L66" s="1">
        <v>44916.5</v>
      </c>
      <c r="P66" s="6">
        <v>0</v>
      </c>
    </row>
    <row r="67" spans="2:16" x14ac:dyDescent="0.25">
      <c r="E67" t="s">
        <v>78</v>
      </c>
      <c r="I67">
        <v>66</v>
      </c>
      <c r="J67">
        <v>0</v>
      </c>
      <c r="K67" s="1">
        <v>44916.5</v>
      </c>
      <c r="L67" s="1">
        <v>44916.5</v>
      </c>
      <c r="P67" s="6">
        <v>0</v>
      </c>
    </row>
    <row r="68" spans="2:16" x14ac:dyDescent="0.25">
      <c r="E68" t="s">
        <v>79</v>
      </c>
      <c r="I68">
        <v>67</v>
      </c>
      <c r="J68">
        <v>0</v>
      </c>
      <c r="K68" s="1">
        <v>44916.5</v>
      </c>
      <c r="L68" s="1">
        <v>44916.5</v>
      </c>
      <c r="P68" s="6">
        <v>0</v>
      </c>
    </row>
    <row r="69" spans="2:16" s="2" customFormat="1" x14ac:dyDescent="0.25">
      <c r="D69" s="2" t="s">
        <v>80</v>
      </c>
      <c r="I69" s="2">
        <v>68</v>
      </c>
      <c r="J69" s="2">
        <v>0</v>
      </c>
      <c r="K69" s="3">
        <v>44916.5</v>
      </c>
      <c r="L69" s="3">
        <v>44916.5</v>
      </c>
      <c r="P69" s="5">
        <v>0</v>
      </c>
    </row>
    <row r="70" spans="2:16" x14ac:dyDescent="0.25">
      <c r="E70" t="s">
        <v>81</v>
      </c>
      <c r="I70">
        <v>69</v>
      </c>
      <c r="J70">
        <v>0</v>
      </c>
      <c r="K70" s="1">
        <v>44916.5</v>
      </c>
      <c r="L70" s="1">
        <v>44916.5</v>
      </c>
      <c r="P70" s="6">
        <v>0</v>
      </c>
    </row>
    <row r="71" spans="2:16" x14ac:dyDescent="0.25">
      <c r="E71" t="s">
        <v>82</v>
      </c>
      <c r="I71">
        <v>70</v>
      </c>
      <c r="J71">
        <v>0</v>
      </c>
      <c r="K71" s="1">
        <v>44916.5</v>
      </c>
      <c r="L71" s="1">
        <v>44916.5</v>
      </c>
      <c r="P71" s="6">
        <v>0</v>
      </c>
    </row>
    <row r="72" spans="2:16" s="2" customFormat="1" x14ac:dyDescent="0.25">
      <c r="D72" s="2" t="s">
        <v>83</v>
      </c>
      <c r="I72" s="2">
        <v>71</v>
      </c>
      <c r="J72" s="2">
        <v>0</v>
      </c>
      <c r="K72" s="3">
        <v>44916.5</v>
      </c>
      <c r="L72" s="3">
        <v>44916.5</v>
      </c>
      <c r="P72" s="5">
        <v>0</v>
      </c>
    </row>
    <row r="73" spans="2:16" x14ac:dyDescent="0.25">
      <c r="E73" t="s">
        <v>84</v>
      </c>
      <c r="I73">
        <v>72</v>
      </c>
      <c r="J73">
        <v>0</v>
      </c>
      <c r="K73" s="1">
        <v>44916.5</v>
      </c>
      <c r="L73" s="1">
        <v>44916.5</v>
      </c>
      <c r="P73" s="6">
        <v>0</v>
      </c>
    </row>
    <row r="74" spans="2:16" x14ac:dyDescent="0.25">
      <c r="E74" t="s">
        <v>85</v>
      </c>
      <c r="I74">
        <v>73</v>
      </c>
      <c r="J74">
        <v>0</v>
      </c>
      <c r="K74" s="1">
        <v>44916.5</v>
      </c>
      <c r="L74" s="1">
        <v>44916.5</v>
      </c>
      <c r="P74" s="6">
        <v>0</v>
      </c>
    </row>
    <row r="75" spans="2:16" x14ac:dyDescent="0.25">
      <c r="E75" t="s">
        <v>86</v>
      </c>
      <c r="I75">
        <v>74</v>
      </c>
      <c r="J75">
        <v>0</v>
      </c>
      <c r="K75" s="1">
        <v>44916.5</v>
      </c>
      <c r="L75" s="1">
        <v>44916.5</v>
      </c>
      <c r="P75" s="6">
        <v>0</v>
      </c>
    </row>
    <row r="76" spans="2:16" s="2" customFormat="1" x14ac:dyDescent="0.25">
      <c r="B76" s="2" t="s">
        <v>87</v>
      </c>
      <c r="I76" s="2">
        <v>75</v>
      </c>
      <c r="J76" s="2">
        <v>77.5</v>
      </c>
      <c r="K76" s="3">
        <v>44914.375</v>
      </c>
      <c r="L76" s="3">
        <v>45021.541666666664</v>
      </c>
      <c r="P76" s="5">
        <v>0</v>
      </c>
    </row>
    <row r="77" spans="2:16" x14ac:dyDescent="0.25">
      <c r="C77" t="s">
        <v>88</v>
      </c>
      <c r="I77">
        <v>76</v>
      </c>
      <c r="J77">
        <v>0</v>
      </c>
      <c r="K77" s="1">
        <v>44914.375</v>
      </c>
      <c r="L77" s="1">
        <v>44914.375</v>
      </c>
      <c r="M77">
        <v>12</v>
      </c>
      <c r="P77" s="6">
        <v>0</v>
      </c>
    </row>
    <row r="78" spans="2:16" x14ac:dyDescent="0.25">
      <c r="C78" t="s">
        <v>89</v>
      </c>
      <c r="I78">
        <v>77</v>
      </c>
      <c r="J78">
        <v>0</v>
      </c>
      <c r="K78" s="1">
        <v>44935.375</v>
      </c>
      <c r="L78" s="1">
        <v>44935.375</v>
      </c>
      <c r="N78">
        <v>79</v>
      </c>
      <c r="P78" s="6">
        <v>0</v>
      </c>
    </row>
    <row r="79" spans="2:16" s="2" customFormat="1" x14ac:dyDescent="0.25">
      <c r="C79" s="2" t="s">
        <v>90</v>
      </c>
      <c r="I79" s="2">
        <v>78</v>
      </c>
      <c r="J79" s="2">
        <v>32.5</v>
      </c>
      <c r="K79" s="3">
        <v>44935.375</v>
      </c>
      <c r="L79" s="3">
        <v>44979.541666666664</v>
      </c>
      <c r="P79" s="5">
        <v>0</v>
      </c>
    </row>
    <row r="80" spans="2:16" x14ac:dyDescent="0.25">
      <c r="D80" t="s">
        <v>90</v>
      </c>
      <c r="I80">
        <v>79</v>
      </c>
      <c r="J80">
        <v>12.5</v>
      </c>
      <c r="K80" s="1">
        <v>44935.375</v>
      </c>
      <c r="L80" s="1">
        <v>44951.541666666664</v>
      </c>
      <c r="M80" t="s">
        <v>91</v>
      </c>
      <c r="N80">
        <v>80</v>
      </c>
      <c r="O80" t="s">
        <v>40</v>
      </c>
      <c r="P80" s="6">
        <v>0</v>
      </c>
    </row>
    <row r="81" spans="2:16" x14ac:dyDescent="0.25">
      <c r="D81" t="s">
        <v>92</v>
      </c>
      <c r="I81">
        <v>80</v>
      </c>
      <c r="J81">
        <v>7.5</v>
      </c>
      <c r="K81" s="1">
        <v>44970.375</v>
      </c>
      <c r="L81" s="1">
        <v>44979.541666666664</v>
      </c>
      <c r="M81" t="s">
        <v>318</v>
      </c>
      <c r="N81">
        <v>81</v>
      </c>
      <c r="O81" t="s">
        <v>93</v>
      </c>
      <c r="P81" s="6">
        <v>0</v>
      </c>
    </row>
    <row r="82" spans="2:16" x14ac:dyDescent="0.25">
      <c r="C82" t="s">
        <v>94</v>
      </c>
      <c r="I82">
        <v>81</v>
      </c>
      <c r="J82">
        <v>0</v>
      </c>
      <c r="K82" s="1">
        <v>44979.541666666664</v>
      </c>
      <c r="L82" s="1">
        <v>44979.541666666664</v>
      </c>
      <c r="M82">
        <v>80</v>
      </c>
      <c r="N82" t="s">
        <v>319</v>
      </c>
      <c r="P82" s="6">
        <v>0</v>
      </c>
    </row>
    <row r="83" spans="2:16" x14ac:dyDescent="0.25">
      <c r="C83" t="s">
        <v>96</v>
      </c>
      <c r="I83">
        <v>82</v>
      </c>
      <c r="J83">
        <v>15</v>
      </c>
      <c r="K83" s="1">
        <v>44972.583333333336</v>
      </c>
      <c r="L83" s="1">
        <v>44993.541666666664</v>
      </c>
      <c r="M83" t="s">
        <v>95</v>
      </c>
      <c r="N83">
        <v>83</v>
      </c>
      <c r="O83" t="s">
        <v>93</v>
      </c>
      <c r="P83" s="6">
        <v>0</v>
      </c>
    </row>
    <row r="84" spans="2:16" x14ac:dyDescent="0.25">
      <c r="C84" t="s">
        <v>97</v>
      </c>
      <c r="I84">
        <v>83</v>
      </c>
      <c r="J84">
        <v>20</v>
      </c>
      <c r="K84" s="1">
        <v>44993.583333333336</v>
      </c>
      <c r="L84" s="1">
        <v>45021.541666666664</v>
      </c>
      <c r="M84">
        <v>82</v>
      </c>
      <c r="O84" t="s">
        <v>93</v>
      </c>
      <c r="P84" s="6">
        <v>0</v>
      </c>
    </row>
    <row r="85" spans="2:16" s="2" customFormat="1" x14ac:dyDescent="0.25">
      <c r="B85" s="2" t="s">
        <v>102</v>
      </c>
      <c r="I85" s="2">
        <v>99</v>
      </c>
      <c r="J85" s="2">
        <v>183.5</v>
      </c>
      <c r="K85" s="3">
        <v>44760.375</v>
      </c>
      <c r="L85" s="3">
        <v>45015.541666666664</v>
      </c>
      <c r="O85" s="2" t="s">
        <v>40</v>
      </c>
      <c r="P85" s="5">
        <v>0.59</v>
      </c>
    </row>
    <row r="86" spans="2:16" s="2" customFormat="1" x14ac:dyDescent="0.25">
      <c r="C86" s="2" t="s">
        <v>103</v>
      </c>
      <c r="I86" s="2">
        <v>100</v>
      </c>
      <c r="J86" s="2">
        <v>85</v>
      </c>
      <c r="K86" s="3">
        <v>44768.375</v>
      </c>
      <c r="L86" s="3">
        <v>44886.75</v>
      </c>
      <c r="N86" s="2" t="s">
        <v>104</v>
      </c>
      <c r="P86" s="5">
        <v>1</v>
      </c>
    </row>
    <row r="87" spans="2:16" x14ac:dyDescent="0.25">
      <c r="D87" t="s">
        <v>105</v>
      </c>
      <c r="I87">
        <v>101</v>
      </c>
      <c r="J87">
        <v>5</v>
      </c>
      <c r="K87" s="1">
        <v>44788.375</v>
      </c>
      <c r="L87" s="1">
        <v>44792.75</v>
      </c>
      <c r="O87" t="s">
        <v>40</v>
      </c>
      <c r="P87" s="6">
        <v>1</v>
      </c>
    </row>
    <row r="88" spans="2:16" s="2" customFormat="1" x14ac:dyDescent="0.25">
      <c r="D88" s="2" t="s">
        <v>106</v>
      </c>
      <c r="I88" s="2">
        <v>102</v>
      </c>
      <c r="J88" s="2">
        <v>85</v>
      </c>
      <c r="K88" s="3">
        <v>44768.375</v>
      </c>
      <c r="L88" s="3">
        <v>44886.75</v>
      </c>
      <c r="N88" s="2">
        <v>121</v>
      </c>
      <c r="P88" s="5">
        <v>1</v>
      </c>
    </row>
    <row r="89" spans="2:16" x14ac:dyDescent="0.25">
      <c r="E89" t="s">
        <v>107</v>
      </c>
      <c r="I89">
        <v>103</v>
      </c>
      <c r="J89">
        <v>17.5</v>
      </c>
      <c r="K89" s="1">
        <v>44768.375</v>
      </c>
      <c r="L89" s="1">
        <v>44791.541666666664</v>
      </c>
      <c r="O89" t="s">
        <v>40</v>
      </c>
      <c r="P89" s="6">
        <v>1</v>
      </c>
    </row>
    <row r="90" spans="2:16" x14ac:dyDescent="0.25">
      <c r="E90" t="s">
        <v>108</v>
      </c>
      <c r="I90">
        <v>104</v>
      </c>
      <c r="J90">
        <v>16</v>
      </c>
      <c r="K90" s="1">
        <v>44865.375</v>
      </c>
      <c r="L90" s="1">
        <v>44886.75</v>
      </c>
      <c r="O90" t="s">
        <v>43</v>
      </c>
      <c r="P90" s="6">
        <v>1</v>
      </c>
    </row>
    <row r="91" spans="2:16" x14ac:dyDescent="0.25">
      <c r="E91" t="s">
        <v>109</v>
      </c>
      <c r="I91">
        <v>105</v>
      </c>
      <c r="J91">
        <v>18.75</v>
      </c>
      <c r="K91" s="1">
        <v>44768.375</v>
      </c>
      <c r="L91" s="1">
        <v>44792.666666666664</v>
      </c>
      <c r="N91">
        <v>110</v>
      </c>
      <c r="O91" t="s">
        <v>110</v>
      </c>
      <c r="P91" s="6">
        <v>1</v>
      </c>
    </row>
    <row r="92" spans="2:16" x14ac:dyDescent="0.25">
      <c r="E92" t="s">
        <v>111</v>
      </c>
      <c r="I92">
        <v>106</v>
      </c>
      <c r="J92">
        <v>18</v>
      </c>
      <c r="K92" s="1">
        <v>44768.375</v>
      </c>
      <c r="L92" s="1">
        <v>44791.75</v>
      </c>
      <c r="N92">
        <v>107</v>
      </c>
      <c r="O92" t="s">
        <v>112</v>
      </c>
      <c r="P92" s="6">
        <v>1</v>
      </c>
    </row>
    <row r="93" spans="2:16" x14ac:dyDescent="0.25">
      <c r="E93" t="s">
        <v>113</v>
      </c>
      <c r="I93">
        <v>107</v>
      </c>
      <c r="J93">
        <v>1.625</v>
      </c>
      <c r="K93" s="1">
        <v>44823.375</v>
      </c>
      <c r="L93" s="1">
        <v>44824.625</v>
      </c>
      <c r="M93">
        <v>106</v>
      </c>
      <c r="O93" t="s">
        <v>101</v>
      </c>
      <c r="P93" s="6">
        <v>1</v>
      </c>
    </row>
    <row r="94" spans="2:16" x14ac:dyDescent="0.25">
      <c r="E94" t="s">
        <v>114</v>
      </c>
      <c r="I94">
        <v>108</v>
      </c>
      <c r="J94">
        <v>18.75</v>
      </c>
      <c r="K94" s="1">
        <v>44768.375</v>
      </c>
      <c r="L94" s="1">
        <v>44792.666666666664</v>
      </c>
      <c r="N94">
        <v>111</v>
      </c>
      <c r="O94" t="s">
        <v>112</v>
      </c>
      <c r="P94" s="6">
        <v>1</v>
      </c>
    </row>
    <row r="95" spans="2:16" s="2" customFormat="1" x14ac:dyDescent="0.25">
      <c r="C95" s="2" t="s">
        <v>115</v>
      </c>
      <c r="I95" s="2">
        <v>109</v>
      </c>
      <c r="J95" s="2">
        <v>90</v>
      </c>
      <c r="K95" s="3">
        <v>44768.375</v>
      </c>
      <c r="L95" s="3">
        <v>44893.75</v>
      </c>
      <c r="M95" s="2">
        <v>85</v>
      </c>
      <c r="P95" s="5">
        <v>0.59</v>
      </c>
    </row>
    <row r="96" spans="2:16" x14ac:dyDescent="0.25">
      <c r="D96" t="s">
        <v>116</v>
      </c>
      <c r="I96">
        <v>110</v>
      </c>
      <c r="J96">
        <v>38.5</v>
      </c>
      <c r="K96" s="1">
        <v>44792.666666666664</v>
      </c>
      <c r="L96" s="1">
        <v>44879.75</v>
      </c>
      <c r="M96">
        <v>105</v>
      </c>
      <c r="O96" t="s">
        <v>43</v>
      </c>
      <c r="P96" s="6">
        <v>0.19</v>
      </c>
    </row>
    <row r="97" spans="4:16" x14ac:dyDescent="0.25">
      <c r="D97" t="s">
        <v>117</v>
      </c>
      <c r="I97">
        <v>111</v>
      </c>
      <c r="J97">
        <v>41</v>
      </c>
      <c r="K97" s="1">
        <v>44823.375</v>
      </c>
      <c r="L97" s="1">
        <v>44879.75</v>
      </c>
      <c r="M97">
        <v>108</v>
      </c>
      <c r="O97" t="s">
        <v>101</v>
      </c>
      <c r="P97" s="6">
        <v>0.25</v>
      </c>
    </row>
    <row r="98" spans="4:16" x14ac:dyDescent="0.25">
      <c r="D98" t="s">
        <v>118</v>
      </c>
      <c r="I98">
        <v>112</v>
      </c>
      <c r="J98">
        <v>18.75</v>
      </c>
      <c r="K98" s="1">
        <v>44768.375</v>
      </c>
      <c r="L98" s="1">
        <v>44792.666666666664</v>
      </c>
      <c r="N98">
        <v>114</v>
      </c>
      <c r="O98" t="s">
        <v>45</v>
      </c>
      <c r="P98" s="6">
        <v>1</v>
      </c>
    </row>
    <row r="99" spans="4:16" s="2" customFormat="1" x14ac:dyDescent="0.25">
      <c r="D99" s="2" t="s">
        <v>119</v>
      </c>
      <c r="I99" s="2">
        <v>113</v>
      </c>
      <c r="J99" s="2">
        <v>21</v>
      </c>
      <c r="K99" s="3">
        <v>44792.666666666664</v>
      </c>
      <c r="L99" s="3">
        <v>44823.666666666664</v>
      </c>
      <c r="P99" s="5">
        <v>1</v>
      </c>
    </row>
    <row r="100" spans="4:16" x14ac:dyDescent="0.25">
      <c r="E100" t="s">
        <v>119</v>
      </c>
      <c r="I100">
        <v>114</v>
      </c>
      <c r="J100">
        <v>8</v>
      </c>
      <c r="K100" s="1">
        <v>44792.666666666664</v>
      </c>
      <c r="L100" s="1">
        <v>44819.666666666664</v>
      </c>
      <c r="M100">
        <v>112</v>
      </c>
      <c r="N100">
        <v>115</v>
      </c>
      <c r="O100" t="s">
        <v>45</v>
      </c>
      <c r="P100" s="6">
        <v>1</v>
      </c>
    </row>
    <row r="101" spans="4:16" x14ac:dyDescent="0.25">
      <c r="E101" t="s">
        <v>113</v>
      </c>
      <c r="I101">
        <v>115</v>
      </c>
      <c r="J101">
        <v>2</v>
      </c>
      <c r="K101" s="1">
        <v>44819.666666666664</v>
      </c>
      <c r="L101" s="1">
        <v>44823.666666666664</v>
      </c>
      <c r="M101">
        <v>114</v>
      </c>
      <c r="O101" t="s">
        <v>40</v>
      </c>
      <c r="P101" s="6">
        <v>1</v>
      </c>
    </row>
    <row r="102" spans="4:16" s="2" customFormat="1" x14ac:dyDescent="0.25">
      <c r="D102" s="2" t="s">
        <v>120</v>
      </c>
      <c r="I102" s="2">
        <v>116</v>
      </c>
      <c r="J102" s="2">
        <v>51</v>
      </c>
      <c r="K102" s="3">
        <v>44802.375</v>
      </c>
      <c r="L102" s="3">
        <v>44872.75</v>
      </c>
      <c r="N102" s="2">
        <v>120</v>
      </c>
      <c r="P102" s="5">
        <v>0.88</v>
      </c>
    </row>
    <row r="103" spans="4:16" x14ac:dyDescent="0.25">
      <c r="E103" t="s">
        <v>121</v>
      </c>
      <c r="I103">
        <v>117</v>
      </c>
      <c r="J103">
        <v>20</v>
      </c>
      <c r="K103" s="1">
        <v>44802.375</v>
      </c>
      <c r="L103" s="1">
        <v>44827.75</v>
      </c>
      <c r="N103">
        <v>118</v>
      </c>
      <c r="O103" t="s">
        <v>59</v>
      </c>
      <c r="P103" s="6">
        <v>1</v>
      </c>
    </row>
    <row r="104" spans="4:16" x14ac:dyDescent="0.25">
      <c r="E104" t="s">
        <v>122</v>
      </c>
      <c r="I104">
        <v>118</v>
      </c>
      <c r="J104">
        <v>15</v>
      </c>
      <c r="K104" s="1">
        <v>44830.375</v>
      </c>
      <c r="L104" s="1">
        <v>44848.75</v>
      </c>
      <c r="M104">
        <v>117</v>
      </c>
      <c r="O104" t="s">
        <v>59</v>
      </c>
      <c r="P104" s="6">
        <v>1</v>
      </c>
    </row>
    <row r="105" spans="4:16" x14ac:dyDescent="0.25">
      <c r="E105" t="s">
        <v>123</v>
      </c>
      <c r="I105">
        <v>119</v>
      </c>
      <c r="J105">
        <v>5</v>
      </c>
      <c r="K105" s="1">
        <v>44866.375</v>
      </c>
      <c r="L105" s="1">
        <v>44872.75</v>
      </c>
      <c r="O105" t="s">
        <v>101</v>
      </c>
      <c r="P105" s="6">
        <v>0</v>
      </c>
    </row>
    <row r="106" spans="4:16" x14ac:dyDescent="0.25">
      <c r="D106" t="s">
        <v>124</v>
      </c>
      <c r="I106">
        <v>120</v>
      </c>
      <c r="J106">
        <v>7.5</v>
      </c>
      <c r="K106" s="1">
        <v>44873.375</v>
      </c>
      <c r="L106" s="1">
        <v>44882.541666666664</v>
      </c>
      <c r="M106">
        <v>116</v>
      </c>
      <c r="N106">
        <v>121</v>
      </c>
      <c r="O106" t="s">
        <v>59</v>
      </c>
      <c r="P106" s="6">
        <v>0</v>
      </c>
    </row>
    <row r="107" spans="4:16" x14ac:dyDescent="0.25">
      <c r="D107" t="s">
        <v>125</v>
      </c>
      <c r="I107">
        <v>121</v>
      </c>
      <c r="J107">
        <v>5</v>
      </c>
      <c r="K107" s="1">
        <v>44887.375</v>
      </c>
      <c r="L107" s="1">
        <v>44893.75</v>
      </c>
      <c r="M107" t="s">
        <v>320</v>
      </c>
      <c r="O107" t="s">
        <v>59</v>
      </c>
      <c r="P107" s="6">
        <v>0</v>
      </c>
    </row>
    <row r="108" spans="4:16" x14ac:dyDescent="0.25">
      <c r="D108" t="s">
        <v>126</v>
      </c>
      <c r="I108">
        <v>122</v>
      </c>
      <c r="J108">
        <v>5</v>
      </c>
      <c r="K108" s="1">
        <v>44768.375</v>
      </c>
      <c r="L108" s="1">
        <v>44774.75</v>
      </c>
      <c r="O108" t="s">
        <v>43</v>
      </c>
      <c r="P108" s="6">
        <v>0</v>
      </c>
    </row>
    <row r="109" spans="4:16" x14ac:dyDescent="0.25">
      <c r="D109" t="s">
        <v>127</v>
      </c>
      <c r="I109">
        <v>123</v>
      </c>
      <c r="J109">
        <v>27</v>
      </c>
      <c r="K109" s="1">
        <v>44768.375</v>
      </c>
      <c r="L109" s="1">
        <v>44804.75</v>
      </c>
      <c r="N109" t="s">
        <v>321</v>
      </c>
      <c r="O109" t="s">
        <v>98</v>
      </c>
      <c r="P109" s="6">
        <v>1</v>
      </c>
    </row>
    <row r="110" spans="4:16" x14ac:dyDescent="0.25">
      <c r="D110" t="s">
        <v>128</v>
      </c>
      <c r="I110">
        <v>124</v>
      </c>
      <c r="J110">
        <v>5</v>
      </c>
      <c r="K110" s="1">
        <v>44837.375</v>
      </c>
      <c r="L110" s="1">
        <v>44841.75</v>
      </c>
      <c r="M110">
        <v>123</v>
      </c>
      <c r="O110" t="s">
        <v>93</v>
      </c>
      <c r="P110" s="6">
        <v>1</v>
      </c>
    </row>
    <row r="111" spans="4:16" x14ac:dyDescent="0.25">
      <c r="D111" t="s">
        <v>129</v>
      </c>
      <c r="I111">
        <v>125</v>
      </c>
      <c r="J111">
        <v>5</v>
      </c>
      <c r="K111" s="1">
        <v>44866.375</v>
      </c>
      <c r="L111" s="1">
        <v>44872.75</v>
      </c>
      <c r="O111" t="s">
        <v>93</v>
      </c>
      <c r="P111" s="6">
        <v>1</v>
      </c>
    </row>
    <row r="112" spans="4:16" x14ac:dyDescent="0.25">
      <c r="D112" t="s">
        <v>130</v>
      </c>
      <c r="I112">
        <v>126</v>
      </c>
      <c r="J112">
        <v>18.75</v>
      </c>
      <c r="K112" s="1">
        <v>44805.375</v>
      </c>
      <c r="L112" s="1">
        <v>44831.666666666664</v>
      </c>
      <c r="M112">
        <v>123</v>
      </c>
      <c r="N112" t="s">
        <v>322</v>
      </c>
      <c r="O112" t="s">
        <v>98</v>
      </c>
      <c r="P112" s="6">
        <v>0.75</v>
      </c>
    </row>
    <row r="113" spans="3:16" x14ac:dyDescent="0.25">
      <c r="D113" t="s">
        <v>131</v>
      </c>
      <c r="I113">
        <v>127</v>
      </c>
      <c r="J113">
        <v>5</v>
      </c>
      <c r="K113" s="1">
        <v>44837.375</v>
      </c>
      <c r="L113" s="1">
        <v>44841.75</v>
      </c>
      <c r="M113">
        <v>126</v>
      </c>
      <c r="O113" t="s">
        <v>40</v>
      </c>
      <c r="P113" s="6">
        <v>0.25</v>
      </c>
    </row>
    <row r="114" spans="3:16" s="2" customFormat="1" x14ac:dyDescent="0.25">
      <c r="C114" s="2" t="s">
        <v>132</v>
      </c>
      <c r="I114" s="2">
        <v>128</v>
      </c>
      <c r="J114" s="2">
        <v>7.5</v>
      </c>
      <c r="K114" s="3">
        <v>44768.375</v>
      </c>
      <c r="L114" s="3">
        <v>44777.541666666664</v>
      </c>
      <c r="P114" s="5">
        <v>1</v>
      </c>
    </row>
    <row r="115" spans="3:16" x14ac:dyDescent="0.25">
      <c r="D115" t="s">
        <v>133</v>
      </c>
      <c r="I115">
        <v>129</v>
      </c>
      <c r="J115">
        <v>5</v>
      </c>
      <c r="K115" s="1">
        <v>44768.375</v>
      </c>
      <c r="L115" s="1">
        <v>44774.75</v>
      </c>
      <c r="O115" t="s">
        <v>93</v>
      </c>
      <c r="P115" s="6">
        <v>1</v>
      </c>
    </row>
    <row r="116" spans="3:16" x14ac:dyDescent="0.25">
      <c r="D116" t="s">
        <v>134</v>
      </c>
      <c r="I116">
        <v>130</v>
      </c>
      <c r="J116">
        <v>7.5</v>
      </c>
      <c r="K116" s="1">
        <v>44768.375</v>
      </c>
      <c r="L116" s="1">
        <v>44777.541666666664</v>
      </c>
      <c r="O116" t="s">
        <v>40</v>
      </c>
      <c r="P116" s="6">
        <v>1</v>
      </c>
    </row>
    <row r="117" spans="3:16" x14ac:dyDescent="0.25">
      <c r="C117" t="s">
        <v>135</v>
      </c>
      <c r="I117">
        <v>131</v>
      </c>
      <c r="J117">
        <v>0</v>
      </c>
      <c r="K117" s="1">
        <v>44760.375</v>
      </c>
      <c r="L117" s="1">
        <v>44760.375</v>
      </c>
      <c r="P117" s="6">
        <v>1</v>
      </c>
    </row>
    <row r="118" spans="3:16" s="2" customFormat="1" x14ac:dyDescent="0.25">
      <c r="C118" s="2" t="s">
        <v>136</v>
      </c>
      <c r="I118" s="2">
        <v>132</v>
      </c>
      <c r="J118" s="2">
        <v>89</v>
      </c>
      <c r="K118" s="3">
        <v>44802.375</v>
      </c>
      <c r="L118" s="3">
        <v>44924.75</v>
      </c>
      <c r="P118" s="5">
        <v>0.32</v>
      </c>
    </row>
    <row r="119" spans="3:16" x14ac:dyDescent="0.25">
      <c r="D119" t="s">
        <v>137</v>
      </c>
      <c r="I119">
        <v>133</v>
      </c>
      <c r="J119">
        <v>0</v>
      </c>
      <c r="K119" s="1">
        <v>44889.375</v>
      </c>
      <c r="L119" s="1">
        <v>44889.375</v>
      </c>
      <c r="M119">
        <v>126</v>
      </c>
      <c r="N119" t="s">
        <v>323</v>
      </c>
      <c r="P119" s="6">
        <v>0</v>
      </c>
    </row>
    <row r="120" spans="3:16" x14ac:dyDescent="0.25">
      <c r="D120" t="s">
        <v>138</v>
      </c>
      <c r="I120">
        <v>134</v>
      </c>
      <c r="J120">
        <v>1.625</v>
      </c>
      <c r="K120" s="1">
        <v>44889.375</v>
      </c>
      <c r="L120" s="1">
        <v>44890.625</v>
      </c>
      <c r="M120">
        <v>133</v>
      </c>
      <c r="N120">
        <v>135</v>
      </c>
      <c r="O120" t="s">
        <v>139</v>
      </c>
      <c r="P120" s="6">
        <v>0</v>
      </c>
    </row>
    <row r="121" spans="3:16" x14ac:dyDescent="0.25">
      <c r="D121" t="s">
        <v>140</v>
      </c>
      <c r="I121">
        <v>135</v>
      </c>
      <c r="J121">
        <v>1.625</v>
      </c>
      <c r="K121" s="1">
        <v>44890.625</v>
      </c>
      <c r="L121" s="1">
        <v>44894.458333333336</v>
      </c>
      <c r="M121">
        <v>134</v>
      </c>
      <c r="N121">
        <v>136</v>
      </c>
      <c r="O121" t="s">
        <v>139</v>
      </c>
      <c r="P121" s="6">
        <v>0</v>
      </c>
    </row>
    <row r="122" spans="3:16" x14ac:dyDescent="0.25">
      <c r="D122" t="s">
        <v>141</v>
      </c>
      <c r="I122">
        <v>136</v>
      </c>
      <c r="J122">
        <v>2.625</v>
      </c>
      <c r="K122" s="1">
        <v>44894.458333333336</v>
      </c>
      <c r="L122" s="1">
        <v>44896.708333333336</v>
      </c>
      <c r="M122">
        <v>135</v>
      </c>
      <c r="N122">
        <v>137</v>
      </c>
      <c r="O122" t="s">
        <v>139</v>
      </c>
      <c r="P122" s="6">
        <v>0</v>
      </c>
    </row>
    <row r="123" spans="3:16" x14ac:dyDescent="0.25">
      <c r="D123" t="s">
        <v>142</v>
      </c>
      <c r="I123">
        <v>137</v>
      </c>
      <c r="J123">
        <v>2.625</v>
      </c>
      <c r="K123" s="1">
        <v>44896.708333333336</v>
      </c>
      <c r="L123" s="1">
        <v>44901.541666666664</v>
      </c>
      <c r="M123">
        <v>136</v>
      </c>
      <c r="N123">
        <v>138</v>
      </c>
      <c r="O123" t="s">
        <v>139</v>
      </c>
      <c r="P123" s="6">
        <v>0</v>
      </c>
    </row>
    <row r="124" spans="3:16" x14ac:dyDescent="0.25">
      <c r="D124" t="s">
        <v>143</v>
      </c>
      <c r="I124">
        <v>138</v>
      </c>
      <c r="J124">
        <v>4.25</v>
      </c>
      <c r="K124" s="1">
        <v>44901.583333333336</v>
      </c>
      <c r="L124" s="1">
        <v>44907.666666666664</v>
      </c>
      <c r="M124">
        <v>137</v>
      </c>
      <c r="O124" t="s">
        <v>139</v>
      </c>
      <c r="P124" s="6">
        <v>0</v>
      </c>
    </row>
    <row r="125" spans="3:16" x14ac:dyDescent="0.25">
      <c r="D125" t="s">
        <v>144</v>
      </c>
      <c r="I125">
        <v>139</v>
      </c>
      <c r="J125">
        <v>1.625</v>
      </c>
      <c r="K125" s="1">
        <v>44889.375</v>
      </c>
      <c r="L125" s="1">
        <v>44890.625</v>
      </c>
      <c r="M125">
        <v>133</v>
      </c>
      <c r="N125">
        <v>140</v>
      </c>
      <c r="O125" t="s">
        <v>139</v>
      </c>
      <c r="P125" s="6">
        <v>0</v>
      </c>
    </row>
    <row r="126" spans="3:16" x14ac:dyDescent="0.25">
      <c r="D126" t="s">
        <v>145</v>
      </c>
      <c r="I126">
        <v>140</v>
      </c>
      <c r="J126">
        <v>2.625</v>
      </c>
      <c r="K126" s="1">
        <v>44890.625</v>
      </c>
      <c r="L126" s="1">
        <v>44895.458333333336</v>
      </c>
      <c r="M126">
        <v>139</v>
      </c>
      <c r="N126">
        <v>141</v>
      </c>
      <c r="O126" t="s">
        <v>139</v>
      </c>
      <c r="P126" s="6">
        <v>0</v>
      </c>
    </row>
    <row r="127" spans="3:16" x14ac:dyDescent="0.25">
      <c r="D127" t="s">
        <v>146</v>
      </c>
      <c r="I127">
        <v>141</v>
      </c>
      <c r="J127">
        <v>11.125</v>
      </c>
      <c r="K127" s="1">
        <v>44895.458333333336</v>
      </c>
      <c r="L127" s="1">
        <v>44910.5</v>
      </c>
      <c r="M127">
        <v>140</v>
      </c>
      <c r="N127">
        <v>142</v>
      </c>
      <c r="O127" t="s">
        <v>139</v>
      </c>
      <c r="P127" s="6">
        <v>0</v>
      </c>
    </row>
    <row r="128" spans="3:16" x14ac:dyDescent="0.25">
      <c r="D128" t="s">
        <v>147</v>
      </c>
      <c r="I128">
        <v>142</v>
      </c>
      <c r="J128">
        <v>4.25</v>
      </c>
      <c r="K128" s="1">
        <v>44910.5</v>
      </c>
      <c r="L128" s="1">
        <v>44916.625</v>
      </c>
      <c r="M128">
        <v>141</v>
      </c>
      <c r="O128" t="s">
        <v>139</v>
      </c>
      <c r="P128" s="6">
        <v>0</v>
      </c>
    </row>
    <row r="129" spans="3:16" x14ac:dyDescent="0.25">
      <c r="D129" t="s">
        <v>148</v>
      </c>
      <c r="I129">
        <v>143</v>
      </c>
      <c r="J129">
        <v>18</v>
      </c>
      <c r="K129" s="1">
        <v>44889.375</v>
      </c>
      <c r="L129" s="1">
        <v>44914.75</v>
      </c>
      <c r="M129">
        <v>133</v>
      </c>
      <c r="O129" t="s">
        <v>139</v>
      </c>
      <c r="P129" s="6">
        <v>0</v>
      </c>
    </row>
    <row r="130" spans="3:16" x14ac:dyDescent="0.25">
      <c r="D130" t="s">
        <v>149</v>
      </c>
      <c r="I130">
        <v>144</v>
      </c>
      <c r="J130">
        <v>89</v>
      </c>
      <c r="K130" s="1">
        <v>44802.375</v>
      </c>
      <c r="L130" s="1">
        <v>44924.75</v>
      </c>
      <c r="O130" t="s">
        <v>150</v>
      </c>
      <c r="P130" s="6">
        <v>0.5</v>
      </c>
    </row>
    <row r="131" spans="3:16" s="2" customFormat="1" x14ac:dyDescent="0.25">
      <c r="C131" s="2" t="s">
        <v>151</v>
      </c>
      <c r="I131" s="2">
        <v>145</v>
      </c>
      <c r="J131" s="2">
        <v>62.375</v>
      </c>
      <c r="K131" s="3">
        <v>44830.375</v>
      </c>
      <c r="L131" s="3">
        <v>44916.5</v>
      </c>
      <c r="M131" s="2">
        <v>88</v>
      </c>
      <c r="N131" s="2" t="s">
        <v>152</v>
      </c>
      <c r="P131" s="5">
        <v>0.38</v>
      </c>
    </row>
    <row r="132" spans="3:16" s="2" customFormat="1" x14ac:dyDescent="0.25">
      <c r="D132" s="2" t="s">
        <v>153</v>
      </c>
      <c r="I132" s="2">
        <v>146</v>
      </c>
      <c r="J132" s="2">
        <v>62.375</v>
      </c>
      <c r="K132" s="3">
        <v>44830.375</v>
      </c>
      <c r="L132" s="3">
        <v>44916.5</v>
      </c>
      <c r="P132" s="5">
        <v>0.28000000000000003</v>
      </c>
    </row>
    <row r="133" spans="3:16" x14ac:dyDescent="0.25">
      <c r="E133" t="s">
        <v>154</v>
      </c>
      <c r="I133">
        <v>147</v>
      </c>
      <c r="J133">
        <v>5</v>
      </c>
      <c r="K133" s="1">
        <v>44830.375</v>
      </c>
      <c r="L133" s="1">
        <v>44834.75</v>
      </c>
      <c r="N133" t="s">
        <v>324</v>
      </c>
      <c r="O133" t="s">
        <v>93</v>
      </c>
      <c r="P133" s="6">
        <v>1</v>
      </c>
    </row>
    <row r="134" spans="3:16" x14ac:dyDescent="0.25">
      <c r="E134" t="s">
        <v>155</v>
      </c>
      <c r="I134">
        <v>148</v>
      </c>
      <c r="J134">
        <v>10</v>
      </c>
      <c r="K134" s="1">
        <v>44837.375</v>
      </c>
      <c r="L134" s="1">
        <v>44848.75</v>
      </c>
      <c r="O134" t="s">
        <v>93</v>
      </c>
      <c r="P134" s="6">
        <v>1</v>
      </c>
    </row>
    <row r="135" spans="3:16" s="2" customFormat="1" x14ac:dyDescent="0.25">
      <c r="E135" s="2" t="s">
        <v>156</v>
      </c>
      <c r="I135" s="2">
        <v>149</v>
      </c>
      <c r="J135" s="2">
        <v>10</v>
      </c>
      <c r="K135" s="3">
        <v>44886.375</v>
      </c>
      <c r="L135" s="3">
        <v>44897.75</v>
      </c>
      <c r="N135" s="2">
        <v>154</v>
      </c>
      <c r="P135" s="5">
        <v>0.5</v>
      </c>
    </row>
    <row r="136" spans="3:16" x14ac:dyDescent="0.25">
      <c r="F136" t="s">
        <v>157</v>
      </c>
      <c r="I136">
        <v>150</v>
      </c>
      <c r="J136">
        <v>10</v>
      </c>
      <c r="K136" s="1">
        <v>44886.375</v>
      </c>
      <c r="L136" s="1">
        <v>44897.75</v>
      </c>
      <c r="N136">
        <v>153</v>
      </c>
      <c r="O136" t="s">
        <v>54</v>
      </c>
      <c r="P136" s="6">
        <v>0.5</v>
      </c>
    </row>
    <row r="137" spans="3:16" x14ac:dyDescent="0.25">
      <c r="E137" t="s">
        <v>158</v>
      </c>
      <c r="I137">
        <v>151</v>
      </c>
      <c r="J137">
        <v>5</v>
      </c>
      <c r="K137" s="1">
        <v>44893.375</v>
      </c>
      <c r="L137" s="1">
        <v>44897.75</v>
      </c>
      <c r="N137" t="s">
        <v>325</v>
      </c>
      <c r="O137" t="s">
        <v>54</v>
      </c>
      <c r="P137" s="6">
        <v>0</v>
      </c>
    </row>
    <row r="138" spans="3:16" x14ac:dyDescent="0.25">
      <c r="E138" t="s">
        <v>159</v>
      </c>
      <c r="I138">
        <v>152</v>
      </c>
      <c r="J138">
        <v>5</v>
      </c>
      <c r="K138" s="1">
        <v>44893.375</v>
      </c>
      <c r="L138" s="1">
        <v>44897.75</v>
      </c>
      <c r="O138" t="s">
        <v>93</v>
      </c>
      <c r="P138" s="6">
        <v>0</v>
      </c>
    </row>
    <row r="139" spans="3:16" x14ac:dyDescent="0.25">
      <c r="E139" t="s">
        <v>160</v>
      </c>
      <c r="I139">
        <v>153</v>
      </c>
      <c r="J139">
        <v>2.625</v>
      </c>
      <c r="K139" s="1">
        <v>44900.375</v>
      </c>
      <c r="L139" s="1">
        <v>44902.625</v>
      </c>
      <c r="M139">
        <v>150</v>
      </c>
      <c r="N139">
        <v>154</v>
      </c>
      <c r="O139" t="s">
        <v>54</v>
      </c>
      <c r="P139" s="6">
        <v>0</v>
      </c>
    </row>
    <row r="140" spans="3:16" x14ac:dyDescent="0.25">
      <c r="E140" t="s">
        <v>161</v>
      </c>
      <c r="I140">
        <v>154</v>
      </c>
      <c r="J140">
        <v>1.625</v>
      </c>
      <c r="K140" s="1">
        <v>44902.625</v>
      </c>
      <c r="L140" s="1">
        <v>44904.458333333336</v>
      </c>
      <c r="M140" t="s">
        <v>326</v>
      </c>
      <c r="N140">
        <v>155</v>
      </c>
      <c r="O140" t="s">
        <v>54</v>
      </c>
      <c r="P140" s="6">
        <v>0</v>
      </c>
    </row>
    <row r="141" spans="3:16" x14ac:dyDescent="0.25">
      <c r="E141" t="s">
        <v>162</v>
      </c>
      <c r="I141">
        <v>155</v>
      </c>
      <c r="J141">
        <v>1.625</v>
      </c>
      <c r="K141" s="1">
        <v>44904.458333333336</v>
      </c>
      <c r="L141" s="1">
        <v>44907.708333333336</v>
      </c>
      <c r="M141">
        <v>154</v>
      </c>
      <c r="N141">
        <v>156</v>
      </c>
      <c r="O141" t="s">
        <v>54</v>
      </c>
      <c r="P141" s="6">
        <v>0</v>
      </c>
    </row>
    <row r="142" spans="3:16" x14ac:dyDescent="0.25">
      <c r="E142" t="s">
        <v>76</v>
      </c>
      <c r="I142">
        <v>156</v>
      </c>
      <c r="J142">
        <v>1.625</v>
      </c>
      <c r="K142" s="1">
        <v>44907.708333333336</v>
      </c>
      <c r="L142" s="1">
        <v>44909.541666666664</v>
      </c>
      <c r="M142">
        <v>155</v>
      </c>
      <c r="N142">
        <v>157</v>
      </c>
      <c r="O142" t="s">
        <v>54</v>
      </c>
      <c r="P142" s="6">
        <v>0</v>
      </c>
    </row>
    <row r="143" spans="3:16" x14ac:dyDescent="0.25">
      <c r="E143" t="s">
        <v>163</v>
      </c>
      <c r="I143">
        <v>157</v>
      </c>
      <c r="J143">
        <v>1.625</v>
      </c>
      <c r="K143" s="1">
        <v>44909.583333333336</v>
      </c>
      <c r="L143" s="1">
        <v>44911.416666666664</v>
      </c>
      <c r="M143">
        <v>156</v>
      </c>
      <c r="N143">
        <v>158</v>
      </c>
      <c r="O143" t="s">
        <v>54</v>
      </c>
      <c r="P143" s="6">
        <v>0</v>
      </c>
    </row>
    <row r="144" spans="3:16" x14ac:dyDescent="0.25">
      <c r="E144" t="s">
        <v>164</v>
      </c>
      <c r="I144">
        <v>158</v>
      </c>
      <c r="J144">
        <v>1.625</v>
      </c>
      <c r="K144" s="1">
        <v>44911.416666666664</v>
      </c>
      <c r="L144" s="1">
        <v>44914.666666666664</v>
      </c>
      <c r="M144">
        <v>157</v>
      </c>
      <c r="N144">
        <v>159</v>
      </c>
      <c r="O144" t="s">
        <v>54</v>
      </c>
      <c r="P144" s="6">
        <v>0</v>
      </c>
    </row>
    <row r="145" spans="4:16" x14ac:dyDescent="0.25">
      <c r="E145" t="s">
        <v>165</v>
      </c>
      <c r="I145">
        <v>159</v>
      </c>
      <c r="J145">
        <v>1.625</v>
      </c>
      <c r="K145" s="1">
        <v>44914.666666666664</v>
      </c>
      <c r="L145" s="1">
        <v>44916.5</v>
      </c>
      <c r="M145">
        <v>158</v>
      </c>
      <c r="O145" t="s">
        <v>54</v>
      </c>
      <c r="P145" s="6">
        <v>0</v>
      </c>
    </row>
    <row r="146" spans="4:16" s="2" customFormat="1" x14ac:dyDescent="0.25">
      <c r="E146" s="2" t="s">
        <v>166</v>
      </c>
      <c r="I146" s="2">
        <v>160</v>
      </c>
      <c r="J146" s="2">
        <v>5</v>
      </c>
      <c r="K146" s="3">
        <v>44893.375</v>
      </c>
      <c r="L146" s="3">
        <v>44897.75</v>
      </c>
      <c r="P146" s="5">
        <v>0</v>
      </c>
    </row>
    <row r="147" spans="4:16" x14ac:dyDescent="0.25">
      <c r="F147" t="s">
        <v>167</v>
      </c>
      <c r="I147">
        <v>161</v>
      </c>
      <c r="J147">
        <v>5</v>
      </c>
      <c r="K147" s="1">
        <v>44893.375</v>
      </c>
      <c r="L147" s="1">
        <v>44897.75</v>
      </c>
      <c r="N147" t="s">
        <v>327</v>
      </c>
      <c r="O147" t="s">
        <v>54</v>
      </c>
      <c r="P147" s="6">
        <v>0</v>
      </c>
    </row>
    <row r="148" spans="4:16" x14ac:dyDescent="0.25">
      <c r="F148" t="s">
        <v>169</v>
      </c>
      <c r="I148">
        <v>162</v>
      </c>
      <c r="J148">
        <v>5</v>
      </c>
      <c r="K148" s="1">
        <v>44893.375</v>
      </c>
      <c r="L148" s="1">
        <v>44897.75</v>
      </c>
      <c r="M148" t="s">
        <v>168</v>
      </c>
      <c r="N148" t="s">
        <v>328</v>
      </c>
      <c r="O148" t="s">
        <v>54</v>
      </c>
      <c r="P148" s="6">
        <v>0</v>
      </c>
    </row>
    <row r="149" spans="4:16" x14ac:dyDescent="0.25">
      <c r="F149" t="s">
        <v>170</v>
      </c>
      <c r="I149">
        <v>163</v>
      </c>
      <c r="J149">
        <v>5</v>
      </c>
      <c r="K149" s="1">
        <v>44893.375</v>
      </c>
      <c r="L149" s="1">
        <v>44897.75</v>
      </c>
      <c r="M149" t="s">
        <v>327</v>
      </c>
      <c r="O149" t="s">
        <v>54</v>
      </c>
      <c r="P149" s="6">
        <v>0</v>
      </c>
    </row>
    <row r="150" spans="4:16" x14ac:dyDescent="0.25">
      <c r="F150" t="s">
        <v>171</v>
      </c>
      <c r="I150">
        <v>164</v>
      </c>
      <c r="J150">
        <v>5</v>
      </c>
      <c r="K150" s="1">
        <v>44893.375</v>
      </c>
      <c r="L150" s="1">
        <v>44897.75</v>
      </c>
      <c r="M150" t="s">
        <v>327</v>
      </c>
      <c r="O150" t="s">
        <v>54</v>
      </c>
      <c r="P150" s="6">
        <v>0</v>
      </c>
    </row>
    <row r="151" spans="4:16" x14ac:dyDescent="0.25">
      <c r="F151" t="s">
        <v>172</v>
      </c>
      <c r="I151">
        <v>165</v>
      </c>
      <c r="J151">
        <v>5</v>
      </c>
      <c r="K151" s="1">
        <v>44893.375</v>
      </c>
      <c r="L151" s="1">
        <v>44897.75</v>
      </c>
      <c r="M151" t="s">
        <v>327</v>
      </c>
      <c r="O151" t="s">
        <v>54</v>
      </c>
      <c r="P151" s="6">
        <v>0</v>
      </c>
    </row>
    <row r="152" spans="4:16" x14ac:dyDescent="0.25">
      <c r="D152" t="s">
        <v>173</v>
      </c>
      <c r="I152">
        <v>166</v>
      </c>
      <c r="J152">
        <v>11.125</v>
      </c>
      <c r="K152" s="1">
        <v>44845.375</v>
      </c>
      <c r="L152" s="1">
        <v>44860.416666666664</v>
      </c>
      <c r="M152">
        <v>168</v>
      </c>
      <c r="N152">
        <v>187</v>
      </c>
      <c r="O152" t="s">
        <v>54</v>
      </c>
      <c r="P152" s="6">
        <v>1</v>
      </c>
    </row>
    <row r="153" spans="4:16" s="2" customFormat="1" x14ac:dyDescent="0.25">
      <c r="D153" s="2" t="s">
        <v>174</v>
      </c>
      <c r="I153" s="2">
        <v>167</v>
      </c>
      <c r="J153" s="2">
        <v>45</v>
      </c>
      <c r="K153" s="3">
        <v>44852.375</v>
      </c>
      <c r="L153" s="3">
        <v>44914.75</v>
      </c>
      <c r="P153" s="5">
        <v>0.39</v>
      </c>
    </row>
    <row r="154" spans="4:16" x14ac:dyDescent="0.25">
      <c r="E154" t="s">
        <v>175</v>
      </c>
      <c r="I154">
        <v>168</v>
      </c>
      <c r="J154">
        <v>15</v>
      </c>
      <c r="K154" s="1">
        <v>44852.375</v>
      </c>
      <c r="L154" s="1">
        <v>44872.75</v>
      </c>
      <c r="M154">
        <v>147</v>
      </c>
      <c r="N154">
        <v>166</v>
      </c>
      <c r="O154" t="s">
        <v>54</v>
      </c>
      <c r="P154" s="6">
        <v>1</v>
      </c>
    </row>
    <row r="155" spans="4:16" x14ac:dyDescent="0.25">
      <c r="E155" t="s">
        <v>176</v>
      </c>
      <c r="I155">
        <v>169</v>
      </c>
      <c r="J155">
        <v>10</v>
      </c>
      <c r="K155" s="1">
        <v>44866.375</v>
      </c>
      <c r="L155" s="1">
        <v>44879.75</v>
      </c>
      <c r="O155" t="s">
        <v>54</v>
      </c>
      <c r="P155" s="6">
        <v>1</v>
      </c>
    </row>
    <row r="156" spans="4:16" x14ac:dyDescent="0.25">
      <c r="E156" t="s">
        <v>177</v>
      </c>
      <c r="I156">
        <v>170</v>
      </c>
      <c r="J156">
        <v>16</v>
      </c>
      <c r="K156" s="1">
        <v>44858.375</v>
      </c>
      <c r="L156" s="1">
        <v>44879.75</v>
      </c>
      <c r="N156">
        <v>172</v>
      </c>
      <c r="O156" t="s">
        <v>93</v>
      </c>
      <c r="P156" s="6">
        <v>1</v>
      </c>
    </row>
    <row r="157" spans="4:16" s="2" customFormat="1" x14ac:dyDescent="0.25">
      <c r="E157" s="2" t="s">
        <v>178</v>
      </c>
      <c r="I157" s="2">
        <v>171</v>
      </c>
      <c r="J157" s="2">
        <v>41</v>
      </c>
      <c r="K157" s="3">
        <v>44858.375</v>
      </c>
      <c r="L157" s="3">
        <v>44914.75</v>
      </c>
      <c r="P157" s="5">
        <v>0.21</v>
      </c>
    </row>
    <row r="158" spans="4:16" s="2" customFormat="1" x14ac:dyDescent="0.25">
      <c r="F158" s="2" t="s">
        <v>179</v>
      </c>
      <c r="I158" s="2">
        <v>172</v>
      </c>
      <c r="J158" s="2">
        <v>20</v>
      </c>
      <c r="K158" s="3">
        <v>44880.375</v>
      </c>
      <c r="L158" s="3">
        <v>44907.75</v>
      </c>
      <c r="M158" s="2">
        <v>170</v>
      </c>
      <c r="N158" s="2" t="s">
        <v>329</v>
      </c>
      <c r="O158" s="2" t="s">
        <v>99</v>
      </c>
      <c r="P158" s="5">
        <v>0.28999999999999998</v>
      </c>
    </row>
    <row r="159" spans="4:16" x14ac:dyDescent="0.25">
      <c r="G159" t="s">
        <v>180</v>
      </c>
      <c r="I159">
        <v>173</v>
      </c>
      <c r="J159">
        <v>10</v>
      </c>
      <c r="K159" s="1">
        <v>44880.375</v>
      </c>
      <c r="L159" s="1">
        <v>44893.75</v>
      </c>
      <c r="N159" t="s">
        <v>330</v>
      </c>
      <c r="O159" t="s">
        <v>93</v>
      </c>
      <c r="P159" s="6">
        <v>1</v>
      </c>
    </row>
    <row r="160" spans="4:16" x14ac:dyDescent="0.25">
      <c r="G160" t="s">
        <v>181</v>
      </c>
      <c r="I160">
        <v>174</v>
      </c>
      <c r="J160">
        <v>5</v>
      </c>
      <c r="K160" s="1">
        <v>44894.375</v>
      </c>
      <c r="L160" s="1">
        <v>44900.75</v>
      </c>
      <c r="M160">
        <v>173</v>
      </c>
      <c r="O160" t="s">
        <v>93</v>
      </c>
      <c r="P160" s="6">
        <v>0</v>
      </c>
    </row>
    <row r="161" spans="3:16" x14ac:dyDescent="0.25">
      <c r="G161" t="s">
        <v>182</v>
      </c>
      <c r="I161">
        <v>175</v>
      </c>
      <c r="J161">
        <v>10</v>
      </c>
      <c r="K161" s="1">
        <v>44894.375</v>
      </c>
      <c r="L161" s="1">
        <v>44907.75</v>
      </c>
      <c r="M161">
        <v>173</v>
      </c>
      <c r="O161" t="s">
        <v>99</v>
      </c>
      <c r="P161" s="6">
        <v>0</v>
      </c>
    </row>
    <row r="162" spans="3:16" x14ac:dyDescent="0.25">
      <c r="G162" t="s">
        <v>183</v>
      </c>
      <c r="I162">
        <v>176</v>
      </c>
      <c r="J162">
        <v>10</v>
      </c>
      <c r="K162" s="1">
        <v>44894.375</v>
      </c>
      <c r="L162" s="1">
        <v>44907.75</v>
      </c>
      <c r="M162">
        <v>173</v>
      </c>
      <c r="N162" t="s">
        <v>331</v>
      </c>
      <c r="O162" t="s">
        <v>54</v>
      </c>
      <c r="P162" s="6">
        <v>0</v>
      </c>
    </row>
    <row r="163" spans="3:16" x14ac:dyDescent="0.25">
      <c r="F163" t="s">
        <v>184</v>
      </c>
      <c r="I163">
        <v>177</v>
      </c>
      <c r="J163">
        <v>5</v>
      </c>
      <c r="K163" s="1">
        <v>44908.375</v>
      </c>
      <c r="L163" s="1">
        <v>44914.75</v>
      </c>
      <c r="M163">
        <v>172</v>
      </c>
      <c r="O163" t="s">
        <v>99</v>
      </c>
      <c r="P163" s="6">
        <v>0</v>
      </c>
    </row>
    <row r="164" spans="3:16" x14ac:dyDescent="0.25">
      <c r="F164" t="s">
        <v>185</v>
      </c>
      <c r="I164">
        <v>178</v>
      </c>
      <c r="J164">
        <v>5</v>
      </c>
      <c r="K164" s="1">
        <v>44900.375</v>
      </c>
      <c r="L164" s="1">
        <v>44904.75</v>
      </c>
      <c r="M164">
        <v>151</v>
      </c>
      <c r="N164">
        <v>179</v>
      </c>
      <c r="O164" t="s">
        <v>93</v>
      </c>
      <c r="P164" s="6">
        <v>0</v>
      </c>
    </row>
    <row r="165" spans="3:16" x14ac:dyDescent="0.25">
      <c r="F165" t="s">
        <v>186</v>
      </c>
      <c r="I165">
        <v>179</v>
      </c>
      <c r="J165">
        <v>5</v>
      </c>
      <c r="K165" s="1">
        <v>44907.375</v>
      </c>
      <c r="L165" s="1">
        <v>44911.75</v>
      </c>
      <c r="M165">
        <v>178</v>
      </c>
      <c r="O165" t="s">
        <v>93</v>
      </c>
      <c r="P165" s="6">
        <v>0</v>
      </c>
    </row>
    <row r="166" spans="3:16" s="2" customFormat="1" x14ac:dyDescent="0.25">
      <c r="F166" s="2" t="s">
        <v>187</v>
      </c>
      <c r="I166" s="2">
        <v>180</v>
      </c>
      <c r="J166" s="2">
        <v>26</v>
      </c>
      <c r="K166" s="3">
        <v>44879.375</v>
      </c>
      <c r="L166" s="3">
        <v>44914.75</v>
      </c>
      <c r="O166" s="2" t="s">
        <v>93</v>
      </c>
      <c r="P166" s="5">
        <v>0.14000000000000001</v>
      </c>
    </row>
    <row r="167" spans="3:16" x14ac:dyDescent="0.25">
      <c r="G167" t="s">
        <v>188</v>
      </c>
      <c r="I167">
        <v>181</v>
      </c>
      <c r="J167">
        <v>10</v>
      </c>
      <c r="K167" s="1">
        <v>44901.375</v>
      </c>
      <c r="L167" s="1">
        <v>44914.75</v>
      </c>
      <c r="M167" t="s">
        <v>332</v>
      </c>
      <c r="O167" t="s">
        <v>54</v>
      </c>
      <c r="P167" s="6">
        <v>0</v>
      </c>
    </row>
    <row r="168" spans="3:16" s="2" customFormat="1" x14ac:dyDescent="0.25">
      <c r="G168" s="2" t="s">
        <v>189</v>
      </c>
      <c r="I168" s="2">
        <v>182</v>
      </c>
      <c r="J168" s="2">
        <v>24</v>
      </c>
      <c r="K168" s="3">
        <v>44879.375</v>
      </c>
      <c r="L168" s="3">
        <v>44910.75</v>
      </c>
      <c r="O168" s="2" t="s">
        <v>40</v>
      </c>
      <c r="P168" s="5">
        <v>0.2</v>
      </c>
    </row>
    <row r="169" spans="3:16" x14ac:dyDescent="0.25">
      <c r="H169" t="s">
        <v>190</v>
      </c>
      <c r="I169">
        <v>183</v>
      </c>
      <c r="J169">
        <v>19</v>
      </c>
      <c r="K169" s="1">
        <v>44879.375</v>
      </c>
      <c r="L169" s="1">
        <v>44903.75</v>
      </c>
      <c r="N169">
        <v>184</v>
      </c>
      <c r="O169" t="s">
        <v>45</v>
      </c>
      <c r="P169" s="6">
        <v>0.25</v>
      </c>
    </row>
    <row r="170" spans="3:16" x14ac:dyDescent="0.25">
      <c r="H170" t="s">
        <v>191</v>
      </c>
      <c r="I170">
        <v>184</v>
      </c>
      <c r="J170">
        <v>5</v>
      </c>
      <c r="K170" s="1">
        <v>44904.375</v>
      </c>
      <c r="L170" s="1">
        <v>44910.75</v>
      </c>
      <c r="M170">
        <v>183</v>
      </c>
      <c r="O170" t="s">
        <v>99</v>
      </c>
      <c r="P170" s="6">
        <v>0</v>
      </c>
    </row>
    <row r="171" spans="3:16" x14ac:dyDescent="0.25">
      <c r="F171" t="s">
        <v>192</v>
      </c>
      <c r="I171">
        <v>185</v>
      </c>
      <c r="J171">
        <v>20</v>
      </c>
      <c r="K171" s="1">
        <v>44879.375</v>
      </c>
      <c r="L171" s="1">
        <v>44904.75</v>
      </c>
      <c r="O171" t="s">
        <v>40</v>
      </c>
      <c r="P171" s="6">
        <v>0.25</v>
      </c>
    </row>
    <row r="172" spans="3:16" x14ac:dyDescent="0.25">
      <c r="F172" t="s">
        <v>193</v>
      </c>
      <c r="I172">
        <v>186</v>
      </c>
      <c r="J172">
        <v>36</v>
      </c>
      <c r="K172" s="1">
        <v>44858.375</v>
      </c>
      <c r="L172" s="1">
        <v>44907.75</v>
      </c>
      <c r="O172" t="s">
        <v>93</v>
      </c>
      <c r="P172" s="6">
        <v>0.25</v>
      </c>
    </row>
    <row r="173" spans="3:16" s="2" customFormat="1" x14ac:dyDescent="0.25">
      <c r="C173" s="2" t="s">
        <v>194</v>
      </c>
      <c r="I173" s="2">
        <v>187</v>
      </c>
      <c r="J173" s="2">
        <v>59</v>
      </c>
      <c r="K173" s="3">
        <v>44908.375</v>
      </c>
      <c r="L173" s="3">
        <v>44988.75</v>
      </c>
      <c r="M173" s="2" t="s">
        <v>333</v>
      </c>
      <c r="O173" s="2" t="s">
        <v>99</v>
      </c>
      <c r="P173" s="5">
        <v>0</v>
      </c>
    </row>
    <row r="174" spans="3:16" x14ac:dyDescent="0.25">
      <c r="D174" t="s">
        <v>195</v>
      </c>
      <c r="I174">
        <v>188</v>
      </c>
      <c r="J174">
        <v>5</v>
      </c>
      <c r="K174" s="1">
        <v>44908.375</v>
      </c>
      <c r="L174" s="1">
        <v>44914.75</v>
      </c>
      <c r="N174">
        <v>189</v>
      </c>
      <c r="O174" t="s">
        <v>99</v>
      </c>
      <c r="P174" s="6">
        <v>0</v>
      </c>
    </row>
    <row r="175" spans="3:16" x14ac:dyDescent="0.25">
      <c r="D175" t="s">
        <v>196</v>
      </c>
      <c r="I175">
        <v>189</v>
      </c>
      <c r="J175">
        <v>5</v>
      </c>
      <c r="K175" s="1">
        <v>44915.375</v>
      </c>
      <c r="L175" s="1">
        <v>44921.75</v>
      </c>
      <c r="M175">
        <v>188</v>
      </c>
      <c r="N175">
        <v>194</v>
      </c>
      <c r="O175" t="s">
        <v>99</v>
      </c>
      <c r="P175" s="6">
        <v>0</v>
      </c>
    </row>
    <row r="176" spans="3:16" x14ac:dyDescent="0.25">
      <c r="D176" t="s">
        <v>197</v>
      </c>
      <c r="I176">
        <v>190</v>
      </c>
      <c r="J176">
        <v>5</v>
      </c>
      <c r="K176" s="1">
        <v>44963.375</v>
      </c>
      <c r="L176" s="1">
        <v>44967.75</v>
      </c>
      <c r="M176" t="s">
        <v>334</v>
      </c>
      <c r="N176">
        <v>191</v>
      </c>
      <c r="O176" t="s">
        <v>99</v>
      </c>
      <c r="P176" s="6">
        <v>0</v>
      </c>
    </row>
    <row r="177" spans="3:16" x14ac:dyDescent="0.25">
      <c r="D177" t="s">
        <v>198</v>
      </c>
      <c r="I177">
        <v>191</v>
      </c>
      <c r="J177">
        <v>15</v>
      </c>
      <c r="K177" s="1">
        <v>44970.375</v>
      </c>
      <c r="L177" s="1">
        <v>44988.75</v>
      </c>
      <c r="M177">
        <v>190</v>
      </c>
      <c r="O177" t="s">
        <v>99</v>
      </c>
      <c r="P177" s="6">
        <v>0</v>
      </c>
    </row>
    <row r="178" spans="3:16" s="2" customFormat="1" x14ac:dyDescent="0.25">
      <c r="D178" s="2" t="s">
        <v>199</v>
      </c>
      <c r="I178" s="2">
        <v>192</v>
      </c>
      <c r="J178" s="2">
        <v>17.5</v>
      </c>
      <c r="K178" s="3">
        <v>44908.375</v>
      </c>
      <c r="L178" s="3">
        <v>44931.541666666664</v>
      </c>
      <c r="M178" s="2">
        <v>91</v>
      </c>
      <c r="O178" s="2" t="s">
        <v>99</v>
      </c>
      <c r="P178" s="5">
        <v>0</v>
      </c>
    </row>
    <row r="179" spans="3:16" x14ac:dyDescent="0.25">
      <c r="E179" t="s">
        <v>200</v>
      </c>
      <c r="I179">
        <v>193</v>
      </c>
      <c r="J179">
        <v>12.5</v>
      </c>
      <c r="K179" s="1">
        <v>44908.375</v>
      </c>
      <c r="L179" s="1">
        <v>44924.541666666664</v>
      </c>
      <c r="N179">
        <v>194</v>
      </c>
      <c r="O179" t="s">
        <v>93</v>
      </c>
      <c r="P179" s="6">
        <v>0</v>
      </c>
    </row>
    <row r="180" spans="3:16" x14ac:dyDescent="0.25">
      <c r="E180" t="s">
        <v>201</v>
      </c>
      <c r="I180">
        <v>194</v>
      </c>
      <c r="J180">
        <v>5</v>
      </c>
      <c r="K180" s="1">
        <v>44924.583333333336</v>
      </c>
      <c r="L180" s="1">
        <v>44931.541666666664</v>
      </c>
      <c r="M180" t="s">
        <v>335</v>
      </c>
      <c r="N180">
        <v>190</v>
      </c>
      <c r="O180" t="s">
        <v>99</v>
      </c>
      <c r="P180" s="6">
        <v>0</v>
      </c>
    </row>
    <row r="181" spans="3:16" s="2" customFormat="1" x14ac:dyDescent="0.25">
      <c r="C181" s="2" t="s">
        <v>202</v>
      </c>
      <c r="I181" s="2">
        <v>195</v>
      </c>
      <c r="J181" s="2">
        <v>100</v>
      </c>
      <c r="K181" s="3">
        <v>44823.375</v>
      </c>
      <c r="L181" s="3">
        <v>44960.75</v>
      </c>
      <c r="P181" s="5">
        <v>0.4</v>
      </c>
    </row>
    <row r="182" spans="3:16" x14ac:dyDescent="0.25">
      <c r="D182" t="s">
        <v>203</v>
      </c>
      <c r="I182">
        <v>196</v>
      </c>
      <c r="J182">
        <v>35</v>
      </c>
      <c r="K182" s="1">
        <v>44823.375</v>
      </c>
      <c r="L182" s="1">
        <v>44869.75</v>
      </c>
      <c r="N182">
        <v>198</v>
      </c>
      <c r="P182" s="6">
        <v>1</v>
      </c>
    </row>
    <row r="183" spans="3:16" x14ac:dyDescent="0.25">
      <c r="D183" t="s">
        <v>204</v>
      </c>
      <c r="I183">
        <v>197</v>
      </c>
      <c r="J183">
        <v>19</v>
      </c>
      <c r="K183" s="1">
        <v>44866.375</v>
      </c>
      <c r="L183" s="1">
        <v>44890.75</v>
      </c>
      <c r="N183" t="s">
        <v>336</v>
      </c>
      <c r="O183" t="s">
        <v>45</v>
      </c>
      <c r="P183" s="6">
        <v>1</v>
      </c>
    </row>
    <row r="184" spans="3:16" s="2" customFormat="1" x14ac:dyDescent="0.25">
      <c r="D184" s="2" t="s">
        <v>205</v>
      </c>
      <c r="I184" s="2">
        <v>198</v>
      </c>
      <c r="J184" s="2">
        <v>59</v>
      </c>
      <c r="K184" s="3">
        <v>44880.375</v>
      </c>
      <c r="L184" s="3">
        <v>44960.75</v>
      </c>
      <c r="M184" s="2">
        <v>196</v>
      </c>
      <c r="O184" s="2" t="s">
        <v>93</v>
      </c>
      <c r="P184" s="5">
        <v>0.09</v>
      </c>
    </row>
    <row r="185" spans="3:16" x14ac:dyDescent="0.25">
      <c r="E185" t="s">
        <v>206</v>
      </c>
      <c r="I185">
        <v>199</v>
      </c>
      <c r="J185">
        <v>19</v>
      </c>
      <c r="K185" s="1">
        <v>44880.375</v>
      </c>
      <c r="L185" s="1">
        <v>44904.75</v>
      </c>
      <c r="N185">
        <v>211</v>
      </c>
      <c r="O185" t="s">
        <v>99</v>
      </c>
      <c r="P185" s="6">
        <v>0.5</v>
      </c>
    </row>
    <row r="186" spans="3:16" x14ac:dyDescent="0.25">
      <c r="E186" t="s">
        <v>207</v>
      </c>
      <c r="I186">
        <v>200</v>
      </c>
      <c r="J186">
        <v>10</v>
      </c>
      <c r="K186" s="1">
        <v>44893.375</v>
      </c>
      <c r="L186" s="1">
        <v>44904.75</v>
      </c>
      <c r="N186" t="s">
        <v>337</v>
      </c>
      <c r="O186" t="s">
        <v>45</v>
      </c>
      <c r="P186" s="6">
        <v>0</v>
      </c>
    </row>
    <row r="187" spans="3:16" s="2" customFormat="1" x14ac:dyDescent="0.25">
      <c r="E187" s="2" t="s">
        <v>208</v>
      </c>
      <c r="I187" s="2">
        <v>201</v>
      </c>
      <c r="J187" s="2">
        <v>16</v>
      </c>
      <c r="K187" s="3">
        <v>44907.375</v>
      </c>
      <c r="L187" s="3">
        <v>44928.75</v>
      </c>
      <c r="N187" s="2">
        <v>266</v>
      </c>
      <c r="O187" s="2" t="s">
        <v>99</v>
      </c>
      <c r="P187" s="5">
        <v>0</v>
      </c>
    </row>
    <row r="188" spans="3:16" x14ac:dyDescent="0.25">
      <c r="F188" t="s">
        <v>209</v>
      </c>
      <c r="I188">
        <v>202</v>
      </c>
      <c r="J188">
        <v>2</v>
      </c>
      <c r="K188" s="1">
        <v>44907.375</v>
      </c>
      <c r="L188" s="1">
        <v>44908.75</v>
      </c>
      <c r="M188">
        <v>200</v>
      </c>
      <c r="N188">
        <v>203</v>
      </c>
      <c r="O188" t="s">
        <v>99</v>
      </c>
      <c r="P188" s="6">
        <v>0</v>
      </c>
    </row>
    <row r="189" spans="3:16" x14ac:dyDescent="0.25">
      <c r="F189" t="s">
        <v>154</v>
      </c>
      <c r="I189">
        <v>203</v>
      </c>
      <c r="J189">
        <v>2</v>
      </c>
      <c r="K189" s="1">
        <v>44909.375</v>
      </c>
      <c r="L189" s="1">
        <v>44910.75</v>
      </c>
      <c r="M189">
        <v>202</v>
      </c>
      <c r="N189">
        <v>204</v>
      </c>
      <c r="O189" t="s">
        <v>99</v>
      </c>
      <c r="P189" s="6">
        <v>0</v>
      </c>
    </row>
    <row r="190" spans="3:16" x14ac:dyDescent="0.25">
      <c r="F190" t="s">
        <v>210</v>
      </c>
      <c r="I190">
        <v>204</v>
      </c>
      <c r="J190">
        <v>2</v>
      </c>
      <c r="K190" s="1">
        <v>44911.375</v>
      </c>
      <c r="L190" s="1">
        <v>44914.75</v>
      </c>
      <c r="M190">
        <v>203</v>
      </c>
      <c r="N190">
        <v>205</v>
      </c>
      <c r="O190" t="s">
        <v>99</v>
      </c>
      <c r="P190" s="6">
        <v>0</v>
      </c>
    </row>
    <row r="191" spans="3:16" x14ac:dyDescent="0.25">
      <c r="F191" t="s">
        <v>211</v>
      </c>
      <c r="I191">
        <v>205</v>
      </c>
      <c r="J191">
        <v>2</v>
      </c>
      <c r="K191" s="1">
        <v>44915.375</v>
      </c>
      <c r="L191" s="1">
        <v>44916.75</v>
      </c>
      <c r="M191">
        <v>204</v>
      </c>
      <c r="N191">
        <v>206</v>
      </c>
      <c r="O191" t="s">
        <v>99</v>
      </c>
      <c r="P191" s="6">
        <v>0</v>
      </c>
    </row>
    <row r="192" spans="3:16" x14ac:dyDescent="0.25">
      <c r="F192" t="s">
        <v>212</v>
      </c>
      <c r="I192">
        <v>206</v>
      </c>
      <c r="J192">
        <v>2</v>
      </c>
      <c r="K192" s="1">
        <v>44917.375</v>
      </c>
      <c r="L192" s="1">
        <v>44918.75</v>
      </c>
      <c r="M192">
        <v>205</v>
      </c>
      <c r="N192">
        <v>207</v>
      </c>
      <c r="O192" t="s">
        <v>99</v>
      </c>
      <c r="P192" s="6">
        <v>0</v>
      </c>
    </row>
    <row r="193" spans="3:16" x14ac:dyDescent="0.25">
      <c r="F193" t="s">
        <v>213</v>
      </c>
      <c r="I193">
        <v>207</v>
      </c>
      <c r="J193">
        <v>2</v>
      </c>
      <c r="K193" s="1">
        <v>44921.375</v>
      </c>
      <c r="L193" s="1">
        <v>44922.75</v>
      </c>
      <c r="M193">
        <v>206</v>
      </c>
      <c r="N193">
        <v>208</v>
      </c>
      <c r="O193" t="s">
        <v>99</v>
      </c>
      <c r="P193" s="6">
        <v>0</v>
      </c>
    </row>
    <row r="194" spans="3:16" x14ac:dyDescent="0.25">
      <c r="F194" t="s">
        <v>214</v>
      </c>
      <c r="I194">
        <v>208</v>
      </c>
      <c r="J194">
        <v>2</v>
      </c>
      <c r="K194" s="1">
        <v>44923.375</v>
      </c>
      <c r="L194" s="1">
        <v>44924.75</v>
      </c>
      <c r="M194">
        <v>207</v>
      </c>
      <c r="N194">
        <v>209</v>
      </c>
      <c r="O194" t="s">
        <v>99</v>
      </c>
      <c r="P194" s="6">
        <v>0</v>
      </c>
    </row>
    <row r="195" spans="3:16" x14ac:dyDescent="0.25">
      <c r="F195" t="s">
        <v>215</v>
      </c>
      <c r="I195">
        <v>209</v>
      </c>
      <c r="J195">
        <v>2</v>
      </c>
      <c r="K195" s="1">
        <v>44925.375</v>
      </c>
      <c r="L195" s="1">
        <v>44928.75</v>
      </c>
      <c r="M195">
        <v>208</v>
      </c>
      <c r="O195" t="s">
        <v>99</v>
      </c>
      <c r="P195" s="6">
        <v>0</v>
      </c>
    </row>
    <row r="196" spans="3:16" x14ac:dyDescent="0.25">
      <c r="E196" t="s">
        <v>216</v>
      </c>
      <c r="I196">
        <v>210</v>
      </c>
      <c r="J196">
        <v>10</v>
      </c>
      <c r="K196" s="1">
        <v>44907.375</v>
      </c>
      <c r="L196" s="1">
        <v>44918.75</v>
      </c>
      <c r="M196">
        <v>200</v>
      </c>
      <c r="N196">
        <v>211</v>
      </c>
      <c r="O196" t="s">
        <v>217</v>
      </c>
      <c r="P196" s="6">
        <v>0</v>
      </c>
    </row>
    <row r="197" spans="3:16" x14ac:dyDescent="0.25">
      <c r="E197" t="s">
        <v>218</v>
      </c>
      <c r="I197">
        <v>211</v>
      </c>
      <c r="J197">
        <v>10</v>
      </c>
      <c r="K197" s="1">
        <v>44921.375</v>
      </c>
      <c r="L197" s="1">
        <v>44932.75</v>
      </c>
      <c r="M197" t="s">
        <v>338</v>
      </c>
      <c r="N197">
        <v>212</v>
      </c>
      <c r="O197" t="s">
        <v>219</v>
      </c>
      <c r="P197" s="6">
        <v>0</v>
      </c>
    </row>
    <row r="198" spans="3:16" s="2" customFormat="1" x14ac:dyDescent="0.25">
      <c r="E198" s="2" t="s">
        <v>220</v>
      </c>
      <c r="I198" s="2">
        <v>212</v>
      </c>
      <c r="J198" s="2">
        <v>20</v>
      </c>
      <c r="K198" s="3">
        <v>44935.375</v>
      </c>
      <c r="L198" s="3">
        <v>44960.75</v>
      </c>
      <c r="M198" s="2">
        <v>211</v>
      </c>
      <c r="O198" s="2" t="s">
        <v>93</v>
      </c>
      <c r="P198" s="5">
        <v>0</v>
      </c>
    </row>
    <row r="199" spans="3:16" x14ac:dyDescent="0.25">
      <c r="F199" t="s">
        <v>209</v>
      </c>
      <c r="I199">
        <v>213</v>
      </c>
      <c r="J199">
        <v>5</v>
      </c>
      <c r="K199" s="1">
        <v>44935.375</v>
      </c>
      <c r="L199" s="1">
        <v>44939.75</v>
      </c>
      <c r="O199" t="s">
        <v>99</v>
      </c>
      <c r="P199" s="6">
        <v>0</v>
      </c>
    </row>
    <row r="200" spans="3:16" x14ac:dyDescent="0.25">
      <c r="F200" t="s">
        <v>154</v>
      </c>
      <c r="I200">
        <v>214</v>
      </c>
      <c r="J200">
        <v>5</v>
      </c>
      <c r="K200" s="1">
        <v>44935.375</v>
      </c>
      <c r="L200" s="1">
        <v>44939.75</v>
      </c>
      <c r="O200" t="s">
        <v>99</v>
      </c>
      <c r="P200" s="6">
        <v>0</v>
      </c>
    </row>
    <row r="201" spans="3:16" x14ac:dyDescent="0.25">
      <c r="F201" t="s">
        <v>210</v>
      </c>
      <c r="I201">
        <v>215</v>
      </c>
      <c r="J201">
        <v>5</v>
      </c>
      <c r="K201" s="1">
        <v>44935.375</v>
      </c>
      <c r="L201" s="1">
        <v>44939.75</v>
      </c>
      <c r="N201">
        <v>216</v>
      </c>
      <c r="O201" t="s">
        <v>99</v>
      </c>
      <c r="P201" s="6">
        <v>0</v>
      </c>
    </row>
    <row r="202" spans="3:16" x14ac:dyDescent="0.25">
      <c r="F202" t="s">
        <v>211</v>
      </c>
      <c r="I202">
        <v>216</v>
      </c>
      <c r="J202">
        <v>5</v>
      </c>
      <c r="K202" s="1">
        <v>44942.375</v>
      </c>
      <c r="L202" s="1">
        <v>44946.75</v>
      </c>
      <c r="M202">
        <v>215</v>
      </c>
      <c r="N202">
        <v>217</v>
      </c>
      <c r="O202" t="s">
        <v>99</v>
      </c>
      <c r="P202" s="6">
        <v>0</v>
      </c>
    </row>
    <row r="203" spans="3:16" x14ac:dyDescent="0.25">
      <c r="F203" t="s">
        <v>212</v>
      </c>
      <c r="I203">
        <v>217</v>
      </c>
      <c r="J203">
        <v>5</v>
      </c>
      <c r="K203" s="1">
        <v>44949.375</v>
      </c>
      <c r="L203" s="1">
        <v>44953.75</v>
      </c>
      <c r="M203">
        <v>216</v>
      </c>
      <c r="N203" t="s">
        <v>339</v>
      </c>
      <c r="O203" t="s">
        <v>99</v>
      </c>
      <c r="P203" s="6">
        <v>0</v>
      </c>
    </row>
    <row r="204" spans="3:16" x14ac:dyDescent="0.25">
      <c r="F204" t="s">
        <v>213</v>
      </c>
      <c r="I204">
        <v>218</v>
      </c>
      <c r="J204">
        <v>5</v>
      </c>
      <c r="K204" s="1">
        <v>44956.375</v>
      </c>
      <c r="L204" s="1">
        <v>44960.75</v>
      </c>
      <c r="M204">
        <v>217</v>
      </c>
      <c r="N204">
        <v>190</v>
      </c>
      <c r="O204" t="s">
        <v>99</v>
      </c>
      <c r="P204" s="6">
        <v>0</v>
      </c>
    </row>
    <row r="205" spans="3:16" x14ac:dyDescent="0.25">
      <c r="F205" t="s">
        <v>214</v>
      </c>
      <c r="I205">
        <v>219</v>
      </c>
      <c r="J205">
        <v>5</v>
      </c>
      <c r="K205" s="1">
        <v>44956.375</v>
      </c>
      <c r="L205" s="1">
        <v>44960.75</v>
      </c>
      <c r="M205">
        <v>217</v>
      </c>
      <c r="O205" t="s">
        <v>99</v>
      </c>
      <c r="P205" s="6">
        <v>0</v>
      </c>
    </row>
    <row r="206" spans="3:16" x14ac:dyDescent="0.25">
      <c r="F206" t="s">
        <v>215</v>
      </c>
      <c r="I206">
        <v>220</v>
      </c>
      <c r="J206">
        <v>5</v>
      </c>
      <c r="K206" s="1">
        <v>44956.375</v>
      </c>
      <c r="L206" s="1">
        <v>44960.75</v>
      </c>
      <c r="M206">
        <v>217</v>
      </c>
      <c r="O206" t="s">
        <v>99</v>
      </c>
      <c r="P206" s="6">
        <v>0</v>
      </c>
    </row>
    <row r="207" spans="3:16" s="2" customFormat="1" x14ac:dyDescent="0.25">
      <c r="C207" s="2" t="s">
        <v>221</v>
      </c>
      <c r="I207" s="2">
        <v>221</v>
      </c>
      <c r="J207" s="2">
        <v>80</v>
      </c>
      <c r="K207" s="3">
        <v>44809.375</v>
      </c>
      <c r="L207" s="3">
        <v>44918.75</v>
      </c>
      <c r="P207" s="5">
        <v>0.89</v>
      </c>
    </row>
    <row r="208" spans="3:16" x14ac:dyDescent="0.25">
      <c r="D208" t="s">
        <v>222</v>
      </c>
      <c r="I208">
        <v>222</v>
      </c>
      <c r="J208">
        <v>3</v>
      </c>
      <c r="K208" s="1">
        <v>44838.375</v>
      </c>
      <c r="L208" s="1">
        <v>44840.75</v>
      </c>
      <c r="M208">
        <v>224</v>
      </c>
      <c r="O208" t="s">
        <v>93</v>
      </c>
      <c r="P208" s="6">
        <v>1</v>
      </c>
    </row>
    <row r="209" spans="4:16" s="2" customFormat="1" x14ac:dyDescent="0.25">
      <c r="D209" s="2" t="s">
        <v>223</v>
      </c>
      <c r="I209" s="2">
        <v>223</v>
      </c>
      <c r="J209" s="2">
        <v>80</v>
      </c>
      <c r="K209" s="3">
        <v>44809.375</v>
      </c>
      <c r="L209" s="3">
        <v>44918.75</v>
      </c>
      <c r="N209" s="2">
        <v>268</v>
      </c>
      <c r="P209" s="5">
        <v>0.89</v>
      </c>
    </row>
    <row r="210" spans="4:16" x14ac:dyDescent="0.25">
      <c r="E210" t="s">
        <v>224</v>
      </c>
      <c r="I210">
        <v>224</v>
      </c>
      <c r="J210">
        <v>14</v>
      </c>
      <c r="K210" s="1">
        <v>44809.375</v>
      </c>
      <c r="L210" s="1">
        <v>44826.75</v>
      </c>
      <c r="N210" t="s">
        <v>340</v>
      </c>
      <c r="O210" t="s">
        <v>93</v>
      </c>
      <c r="P210" s="6">
        <v>1</v>
      </c>
    </row>
    <row r="211" spans="4:16" x14ac:dyDescent="0.25">
      <c r="E211" t="s">
        <v>225</v>
      </c>
      <c r="I211">
        <v>225</v>
      </c>
      <c r="J211">
        <v>8</v>
      </c>
      <c r="K211" s="1">
        <v>44827.375</v>
      </c>
      <c r="L211" s="1">
        <v>44838.75</v>
      </c>
      <c r="M211">
        <v>224</v>
      </c>
      <c r="N211" t="s">
        <v>341</v>
      </c>
      <c r="O211" t="s">
        <v>40</v>
      </c>
      <c r="P211" s="6">
        <v>1</v>
      </c>
    </row>
    <row r="212" spans="4:16" x14ac:dyDescent="0.25">
      <c r="E212" t="s">
        <v>226</v>
      </c>
      <c r="I212">
        <v>226</v>
      </c>
      <c r="J212">
        <v>3.75</v>
      </c>
      <c r="K212" s="1">
        <v>44839.375</v>
      </c>
      <c r="L212" s="1">
        <v>44844.666666666664</v>
      </c>
      <c r="M212">
        <v>225</v>
      </c>
      <c r="O212" t="s">
        <v>40</v>
      </c>
      <c r="P212" s="6">
        <v>1</v>
      </c>
    </row>
    <row r="213" spans="4:16" x14ac:dyDescent="0.25">
      <c r="E213" t="s">
        <v>227</v>
      </c>
      <c r="I213">
        <v>227</v>
      </c>
      <c r="J213">
        <v>5</v>
      </c>
      <c r="K213" s="1">
        <v>44839.375</v>
      </c>
      <c r="L213" s="1">
        <v>44845.75</v>
      </c>
      <c r="M213">
        <v>225</v>
      </c>
      <c r="O213" t="s">
        <v>40</v>
      </c>
      <c r="P213" s="6">
        <v>1</v>
      </c>
    </row>
    <row r="214" spans="4:16" x14ac:dyDescent="0.25">
      <c r="E214" t="s">
        <v>228</v>
      </c>
      <c r="I214">
        <v>228</v>
      </c>
      <c r="J214">
        <v>10</v>
      </c>
      <c r="K214" s="1">
        <v>44866.375</v>
      </c>
      <c r="L214" s="1">
        <v>44879.75</v>
      </c>
      <c r="O214" t="s">
        <v>40</v>
      </c>
      <c r="P214" s="6">
        <v>1</v>
      </c>
    </row>
    <row r="215" spans="4:16" x14ac:dyDescent="0.25">
      <c r="E215" t="s">
        <v>229</v>
      </c>
      <c r="I215">
        <v>229</v>
      </c>
      <c r="J215">
        <v>16</v>
      </c>
      <c r="K215" s="1">
        <v>44866.375</v>
      </c>
      <c r="L215" s="1">
        <v>44887.75</v>
      </c>
      <c r="N215">
        <v>23</v>
      </c>
      <c r="O215" t="s">
        <v>40</v>
      </c>
      <c r="P215" s="6">
        <v>0.5</v>
      </c>
    </row>
    <row r="216" spans="4:16" x14ac:dyDescent="0.25">
      <c r="E216" t="s">
        <v>230</v>
      </c>
      <c r="I216">
        <v>230</v>
      </c>
      <c r="J216">
        <v>20</v>
      </c>
      <c r="K216" s="1">
        <v>44879.375</v>
      </c>
      <c r="L216" s="1">
        <v>44904.75</v>
      </c>
      <c r="N216">
        <v>231</v>
      </c>
      <c r="O216" t="s">
        <v>40</v>
      </c>
      <c r="P216" s="6">
        <v>0.5</v>
      </c>
    </row>
    <row r="217" spans="4:16" x14ac:dyDescent="0.25">
      <c r="E217" t="s">
        <v>231</v>
      </c>
      <c r="I217">
        <v>231</v>
      </c>
      <c r="J217">
        <v>10</v>
      </c>
      <c r="K217" s="1">
        <v>44907.375</v>
      </c>
      <c r="L217" s="1">
        <v>44918.75</v>
      </c>
      <c r="M217">
        <v>230</v>
      </c>
      <c r="O217" t="s">
        <v>40</v>
      </c>
      <c r="P217" s="6">
        <v>0</v>
      </c>
    </row>
    <row r="218" spans="4:16" s="2" customFormat="1" x14ac:dyDescent="0.25">
      <c r="E218" s="2" t="s">
        <v>232</v>
      </c>
      <c r="I218" s="2">
        <v>232</v>
      </c>
      <c r="J218" s="2">
        <v>48</v>
      </c>
      <c r="K218" s="3">
        <v>44839.375</v>
      </c>
      <c r="L218" s="3">
        <v>44904.75</v>
      </c>
      <c r="M218" s="2">
        <v>225</v>
      </c>
      <c r="N218" s="2">
        <v>32</v>
      </c>
      <c r="O218" s="2" t="s">
        <v>43</v>
      </c>
      <c r="P218" s="5">
        <v>0.99</v>
      </c>
    </row>
    <row r="219" spans="4:16" x14ac:dyDescent="0.25">
      <c r="F219" t="s">
        <v>39</v>
      </c>
      <c r="I219">
        <v>233</v>
      </c>
      <c r="J219">
        <v>5</v>
      </c>
      <c r="K219" s="1">
        <v>44839.375</v>
      </c>
      <c r="L219" s="1">
        <v>44845.75</v>
      </c>
      <c r="O219" t="s">
        <v>40</v>
      </c>
      <c r="P219" s="6">
        <v>1</v>
      </c>
    </row>
    <row r="220" spans="4:16" x14ac:dyDescent="0.25">
      <c r="F220" t="s">
        <v>233</v>
      </c>
      <c r="I220">
        <v>234</v>
      </c>
      <c r="J220">
        <v>5</v>
      </c>
      <c r="K220" s="1">
        <v>44839.375</v>
      </c>
      <c r="L220" s="1">
        <v>44845.75</v>
      </c>
      <c r="M220">
        <v>225</v>
      </c>
      <c r="O220" t="s">
        <v>45</v>
      </c>
      <c r="P220" s="6">
        <v>1</v>
      </c>
    </row>
    <row r="221" spans="4:16" x14ac:dyDescent="0.25">
      <c r="F221" t="s">
        <v>41</v>
      </c>
      <c r="I221">
        <v>235</v>
      </c>
      <c r="J221">
        <v>5</v>
      </c>
      <c r="K221" s="1">
        <v>44845.375</v>
      </c>
      <c r="L221" s="1">
        <v>44851.75</v>
      </c>
      <c r="N221">
        <v>236</v>
      </c>
      <c r="O221" t="s">
        <v>40</v>
      </c>
      <c r="P221" s="6">
        <v>1</v>
      </c>
    </row>
    <row r="222" spans="4:16" x14ac:dyDescent="0.25">
      <c r="F222" t="s">
        <v>47</v>
      </c>
      <c r="I222">
        <v>236</v>
      </c>
      <c r="J222">
        <v>5</v>
      </c>
      <c r="K222" s="1">
        <v>44873.375</v>
      </c>
      <c r="L222" s="1">
        <v>44879.75</v>
      </c>
      <c r="M222">
        <v>235</v>
      </c>
      <c r="O222" t="s">
        <v>40</v>
      </c>
      <c r="P222" s="6">
        <v>1</v>
      </c>
    </row>
    <row r="223" spans="4:16" x14ac:dyDescent="0.25">
      <c r="F223" t="s">
        <v>50</v>
      </c>
      <c r="I223">
        <v>237</v>
      </c>
      <c r="J223">
        <v>29</v>
      </c>
      <c r="K223" s="1">
        <v>44844.375</v>
      </c>
      <c r="L223" s="1">
        <v>44882.75</v>
      </c>
      <c r="N223">
        <v>238</v>
      </c>
      <c r="O223" t="s">
        <v>51</v>
      </c>
      <c r="P223" s="6">
        <v>1</v>
      </c>
    </row>
    <row r="224" spans="4:16" x14ac:dyDescent="0.25">
      <c r="F224" t="s">
        <v>52</v>
      </c>
      <c r="I224">
        <v>238</v>
      </c>
      <c r="J224">
        <v>3</v>
      </c>
      <c r="K224" s="1">
        <v>44839.375</v>
      </c>
      <c r="L224" s="1">
        <v>44882.458333333336</v>
      </c>
      <c r="M224">
        <v>237</v>
      </c>
      <c r="O224" t="s">
        <v>51</v>
      </c>
      <c r="P224" s="6">
        <v>1</v>
      </c>
    </row>
    <row r="225" spans="4:16" x14ac:dyDescent="0.25">
      <c r="F225" t="s">
        <v>234</v>
      </c>
      <c r="I225">
        <v>239</v>
      </c>
      <c r="J225">
        <v>20</v>
      </c>
      <c r="K225" s="1">
        <v>44866.375</v>
      </c>
      <c r="L225" s="1">
        <v>44893.75</v>
      </c>
      <c r="M225">
        <v>225</v>
      </c>
      <c r="O225" t="s">
        <v>43</v>
      </c>
      <c r="P225" s="6">
        <v>1</v>
      </c>
    </row>
    <row r="226" spans="4:16" x14ac:dyDescent="0.25">
      <c r="F226" t="s">
        <v>42</v>
      </c>
      <c r="I226">
        <v>240</v>
      </c>
      <c r="J226">
        <v>5</v>
      </c>
      <c r="K226" s="1">
        <v>44879.375</v>
      </c>
      <c r="L226" s="1">
        <v>44883.75</v>
      </c>
      <c r="O226" t="s">
        <v>43</v>
      </c>
      <c r="P226" s="6">
        <v>1</v>
      </c>
    </row>
    <row r="227" spans="4:16" x14ac:dyDescent="0.25">
      <c r="F227" t="s">
        <v>46</v>
      </c>
      <c r="I227">
        <v>241</v>
      </c>
      <c r="J227">
        <v>5</v>
      </c>
      <c r="K227" s="1">
        <v>44879.375</v>
      </c>
      <c r="L227" s="1">
        <v>44883.75</v>
      </c>
      <c r="O227" t="s">
        <v>43</v>
      </c>
      <c r="P227" s="6">
        <v>1</v>
      </c>
    </row>
    <row r="228" spans="4:16" x14ac:dyDescent="0.25">
      <c r="F228" t="s">
        <v>48</v>
      </c>
      <c r="I228">
        <v>242</v>
      </c>
      <c r="J228">
        <v>16</v>
      </c>
      <c r="K228" s="1">
        <v>44872.375</v>
      </c>
      <c r="L228" s="1">
        <v>44893.75</v>
      </c>
      <c r="O228" t="s">
        <v>40</v>
      </c>
      <c r="P228" s="6">
        <v>1</v>
      </c>
    </row>
    <row r="229" spans="4:16" x14ac:dyDescent="0.25">
      <c r="F229" t="s">
        <v>49</v>
      </c>
      <c r="I229">
        <v>243</v>
      </c>
      <c r="J229">
        <v>16</v>
      </c>
      <c r="K229" s="1">
        <v>44872.375</v>
      </c>
      <c r="L229" s="1">
        <v>44893.75</v>
      </c>
      <c r="O229" t="s">
        <v>235</v>
      </c>
      <c r="P229" s="6">
        <v>1</v>
      </c>
    </row>
    <row r="230" spans="4:16" x14ac:dyDescent="0.25">
      <c r="F230" t="s">
        <v>53</v>
      </c>
      <c r="I230">
        <v>244</v>
      </c>
      <c r="J230">
        <v>25</v>
      </c>
      <c r="K230" s="1">
        <v>44872.375</v>
      </c>
      <c r="L230" s="1">
        <v>44904.75</v>
      </c>
      <c r="N230" t="s">
        <v>342</v>
      </c>
      <c r="O230" t="s">
        <v>237</v>
      </c>
      <c r="P230" s="6">
        <v>1</v>
      </c>
    </row>
    <row r="231" spans="4:16" x14ac:dyDescent="0.25">
      <c r="F231" t="s">
        <v>55</v>
      </c>
      <c r="I231">
        <v>245</v>
      </c>
      <c r="J231">
        <v>20</v>
      </c>
      <c r="K231" s="1">
        <v>44879.375</v>
      </c>
      <c r="L231" s="1">
        <v>44904.75</v>
      </c>
      <c r="M231" t="s">
        <v>236</v>
      </c>
      <c r="O231" t="s">
        <v>237</v>
      </c>
      <c r="P231" s="6">
        <v>1</v>
      </c>
    </row>
    <row r="232" spans="4:16" s="2" customFormat="1" x14ac:dyDescent="0.25">
      <c r="D232" s="2" t="s">
        <v>238</v>
      </c>
      <c r="I232" s="2">
        <v>246</v>
      </c>
      <c r="J232" s="2">
        <v>75.5</v>
      </c>
      <c r="K232" s="3">
        <v>44812.375</v>
      </c>
      <c r="L232" s="3">
        <v>44917.541666666664</v>
      </c>
      <c r="N232" s="2">
        <v>45</v>
      </c>
      <c r="P232" s="5">
        <v>0.89</v>
      </c>
    </row>
    <row r="233" spans="4:16" x14ac:dyDescent="0.25">
      <c r="E233" t="s">
        <v>239</v>
      </c>
      <c r="I233">
        <v>247</v>
      </c>
      <c r="J233">
        <v>10</v>
      </c>
      <c r="K233" s="1">
        <v>44812.375</v>
      </c>
      <c r="L233" s="1">
        <v>44825.75</v>
      </c>
      <c r="N233" t="s">
        <v>343</v>
      </c>
      <c r="O233" t="s">
        <v>51</v>
      </c>
      <c r="P233" s="6">
        <v>1</v>
      </c>
    </row>
    <row r="234" spans="4:16" s="2" customFormat="1" x14ac:dyDescent="0.25">
      <c r="E234" s="2" t="s">
        <v>240</v>
      </c>
      <c r="I234" s="2">
        <v>248</v>
      </c>
      <c r="J234" s="2">
        <v>63.5</v>
      </c>
      <c r="K234" s="3">
        <v>44830.375</v>
      </c>
      <c r="L234" s="3">
        <v>44917.541666666664</v>
      </c>
      <c r="M234" s="2">
        <v>247</v>
      </c>
      <c r="O234" s="2" t="s">
        <v>51</v>
      </c>
      <c r="P234" s="5">
        <v>0.94</v>
      </c>
    </row>
    <row r="235" spans="4:16" x14ac:dyDescent="0.25">
      <c r="F235" t="s">
        <v>241</v>
      </c>
      <c r="I235">
        <v>249</v>
      </c>
      <c r="J235">
        <v>5</v>
      </c>
      <c r="K235" s="1">
        <v>44838.375</v>
      </c>
      <c r="L235" s="1">
        <v>44844.75</v>
      </c>
      <c r="M235">
        <v>247</v>
      </c>
      <c r="O235" t="s">
        <v>51</v>
      </c>
      <c r="P235" s="6">
        <v>1</v>
      </c>
    </row>
    <row r="236" spans="4:16" x14ac:dyDescent="0.25">
      <c r="F236" t="s">
        <v>62</v>
      </c>
      <c r="I236">
        <v>250</v>
      </c>
      <c r="J236">
        <v>27</v>
      </c>
      <c r="K236" s="1">
        <v>44830.375</v>
      </c>
      <c r="L236" s="1">
        <v>44866.75</v>
      </c>
      <c r="O236" t="s">
        <v>51</v>
      </c>
      <c r="P236" s="6">
        <v>1</v>
      </c>
    </row>
    <row r="237" spans="4:16" x14ac:dyDescent="0.25">
      <c r="F237" t="s">
        <v>60</v>
      </c>
      <c r="I237">
        <v>251</v>
      </c>
      <c r="J237">
        <v>21</v>
      </c>
      <c r="K237" s="1">
        <v>44852.375</v>
      </c>
      <c r="L237" s="1">
        <v>44880.75</v>
      </c>
      <c r="O237" t="s">
        <v>51</v>
      </c>
      <c r="P237" s="6">
        <v>1</v>
      </c>
    </row>
    <row r="238" spans="4:16" x14ac:dyDescent="0.25">
      <c r="F238" t="s">
        <v>67</v>
      </c>
      <c r="I238">
        <v>252</v>
      </c>
      <c r="J238">
        <v>10</v>
      </c>
      <c r="K238" s="1">
        <v>44865.375</v>
      </c>
      <c r="L238" s="1">
        <v>44876.75</v>
      </c>
      <c r="O238" t="s">
        <v>51</v>
      </c>
      <c r="P238" s="6">
        <v>1</v>
      </c>
    </row>
    <row r="239" spans="4:16" x14ac:dyDescent="0.25">
      <c r="F239" t="s">
        <v>242</v>
      </c>
      <c r="I239">
        <v>253</v>
      </c>
      <c r="J239">
        <v>5</v>
      </c>
      <c r="K239" s="1">
        <v>44839.375</v>
      </c>
      <c r="L239" s="1">
        <v>44845.75</v>
      </c>
      <c r="M239">
        <v>225</v>
      </c>
      <c r="O239" t="s">
        <v>59</v>
      </c>
      <c r="P239" s="6">
        <v>1</v>
      </c>
    </row>
    <row r="240" spans="4:16" x14ac:dyDescent="0.25">
      <c r="F240" t="s">
        <v>57</v>
      </c>
      <c r="I240">
        <v>254</v>
      </c>
      <c r="J240">
        <v>46</v>
      </c>
      <c r="K240" s="1">
        <v>44830.375</v>
      </c>
      <c r="L240" s="1">
        <v>44893.75</v>
      </c>
      <c r="O240" t="s">
        <v>51</v>
      </c>
      <c r="P240" s="6">
        <v>1</v>
      </c>
    </row>
    <row r="241" spans="3:16" x14ac:dyDescent="0.25">
      <c r="F241" t="s">
        <v>58</v>
      </c>
      <c r="I241">
        <v>255</v>
      </c>
      <c r="J241">
        <v>30</v>
      </c>
      <c r="K241" s="1">
        <v>44852.375</v>
      </c>
      <c r="L241" s="1">
        <v>44893.75</v>
      </c>
      <c r="N241">
        <v>260</v>
      </c>
      <c r="O241" t="s">
        <v>59</v>
      </c>
      <c r="P241" s="6">
        <v>1</v>
      </c>
    </row>
    <row r="242" spans="3:16" x14ac:dyDescent="0.25">
      <c r="F242" t="s">
        <v>61</v>
      </c>
      <c r="I242">
        <v>256</v>
      </c>
      <c r="J242">
        <v>16</v>
      </c>
      <c r="K242" s="1">
        <v>44872.375</v>
      </c>
      <c r="L242" s="1">
        <v>44893.75</v>
      </c>
      <c r="O242" t="s">
        <v>51</v>
      </c>
      <c r="P242" s="6">
        <v>1</v>
      </c>
    </row>
    <row r="243" spans="3:16" x14ac:dyDescent="0.25">
      <c r="F243" t="s">
        <v>66</v>
      </c>
      <c r="I243">
        <v>257</v>
      </c>
      <c r="J243">
        <v>16</v>
      </c>
      <c r="K243" s="1">
        <v>44872.375</v>
      </c>
      <c r="L243" s="1">
        <v>44893.75</v>
      </c>
      <c r="N243" t="s">
        <v>344</v>
      </c>
      <c r="O243" t="s">
        <v>51</v>
      </c>
      <c r="P243" s="6">
        <v>1</v>
      </c>
    </row>
    <row r="244" spans="3:16" x14ac:dyDescent="0.25">
      <c r="F244" t="s">
        <v>63</v>
      </c>
      <c r="I244">
        <v>258</v>
      </c>
      <c r="J244">
        <v>10</v>
      </c>
      <c r="K244" s="1">
        <v>44894.375</v>
      </c>
      <c r="L244" s="1">
        <v>44907.75</v>
      </c>
      <c r="M244">
        <v>257</v>
      </c>
      <c r="O244" t="s">
        <v>51</v>
      </c>
      <c r="P244" s="6">
        <v>1</v>
      </c>
    </row>
    <row r="245" spans="3:16" x14ac:dyDescent="0.25">
      <c r="F245" t="s">
        <v>64</v>
      </c>
      <c r="I245">
        <v>259</v>
      </c>
      <c r="J245">
        <v>10</v>
      </c>
      <c r="K245" s="1">
        <v>44894.375</v>
      </c>
      <c r="L245" s="1">
        <v>44907.75</v>
      </c>
      <c r="M245">
        <v>257</v>
      </c>
      <c r="O245" t="s">
        <v>51</v>
      </c>
      <c r="P245" s="6">
        <v>1</v>
      </c>
    </row>
    <row r="246" spans="3:16" x14ac:dyDescent="0.25">
      <c r="F246" t="s">
        <v>65</v>
      </c>
      <c r="I246">
        <v>260</v>
      </c>
      <c r="J246">
        <v>10</v>
      </c>
      <c r="K246" s="1">
        <v>44894.375</v>
      </c>
      <c r="L246" s="1">
        <v>44907.75</v>
      </c>
      <c r="M246">
        <v>255</v>
      </c>
      <c r="N246" t="s">
        <v>345</v>
      </c>
      <c r="O246" t="s">
        <v>59</v>
      </c>
      <c r="P246" s="6">
        <v>1</v>
      </c>
    </row>
    <row r="247" spans="3:16" x14ac:dyDescent="0.25">
      <c r="F247" t="s">
        <v>69</v>
      </c>
      <c r="I247">
        <v>261</v>
      </c>
      <c r="J247">
        <v>7.5</v>
      </c>
      <c r="K247" s="1">
        <v>44908.375</v>
      </c>
      <c r="L247" s="1">
        <v>44917.541666666664</v>
      </c>
      <c r="M247">
        <v>260</v>
      </c>
      <c r="O247" t="s">
        <v>51</v>
      </c>
      <c r="P247" s="6">
        <v>0</v>
      </c>
    </row>
    <row r="248" spans="3:16" x14ac:dyDescent="0.25">
      <c r="F248" t="s">
        <v>68</v>
      </c>
      <c r="I248">
        <v>262</v>
      </c>
      <c r="J248">
        <v>5</v>
      </c>
      <c r="K248" s="1">
        <v>44908.375</v>
      </c>
      <c r="L248" s="1">
        <v>44914.75</v>
      </c>
      <c r="M248">
        <v>260</v>
      </c>
      <c r="O248" t="s">
        <v>59</v>
      </c>
      <c r="P248" s="6">
        <v>0</v>
      </c>
    </row>
    <row r="249" spans="3:16" x14ac:dyDescent="0.25">
      <c r="E249" t="s">
        <v>243</v>
      </c>
      <c r="I249">
        <v>263</v>
      </c>
      <c r="J249">
        <v>15</v>
      </c>
      <c r="K249" s="1">
        <v>44894.375</v>
      </c>
      <c r="L249" s="1">
        <v>44914.75</v>
      </c>
      <c r="M249">
        <v>257</v>
      </c>
      <c r="N249" t="s">
        <v>244</v>
      </c>
      <c r="O249" t="s">
        <v>93</v>
      </c>
      <c r="P249" s="6">
        <v>0</v>
      </c>
    </row>
    <row r="250" spans="3:16" s="2" customFormat="1" x14ac:dyDescent="0.25">
      <c r="C250" s="2" t="s">
        <v>245</v>
      </c>
      <c r="I250" s="2">
        <v>264</v>
      </c>
      <c r="J250" s="2">
        <v>48.5</v>
      </c>
      <c r="K250" s="3">
        <v>44879.375</v>
      </c>
      <c r="L250" s="3">
        <v>44945.541666666664</v>
      </c>
      <c r="P250" s="5">
        <v>0.15</v>
      </c>
    </row>
    <row r="251" spans="3:16" x14ac:dyDescent="0.25">
      <c r="D251" t="s">
        <v>148</v>
      </c>
      <c r="I251">
        <v>265</v>
      </c>
      <c r="J251">
        <v>16</v>
      </c>
      <c r="K251" s="1">
        <v>44879.375</v>
      </c>
      <c r="L251" s="1">
        <v>44900.75</v>
      </c>
      <c r="N251">
        <v>266</v>
      </c>
      <c r="O251" t="s">
        <v>40</v>
      </c>
      <c r="P251" s="6">
        <v>0</v>
      </c>
    </row>
    <row r="252" spans="3:16" x14ac:dyDescent="0.25">
      <c r="D252" t="s">
        <v>246</v>
      </c>
      <c r="I252">
        <v>266</v>
      </c>
      <c r="J252">
        <v>12.5</v>
      </c>
      <c r="K252" s="1">
        <v>44929.375</v>
      </c>
      <c r="L252" s="1">
        <v>44945.541666666664</v>
      </c>
      <c r="M252" t="s">
        <v>346</v>
      </c>
      <c r="N252">
        <v>269</v>
      </c>
      <c r="O252" t="s">
        <v>99</v>
      </c>
      <c r="P252" s="6">
        <v>0</v>
      </c>
    </row>
    <row r="253" spans="3:16" x14ac:dyDescent="0.25">
      <c r="D253" t="s">
        <v>247</v>
      </c>
      <c r="I253">
        <v>267</v>
      </c>
      <c r="J253">
        <v>5</v>
      </c>
      <c r="K253" s="1">
        <v>44909.583333333336</v>
      </c>
      <c r="L253" s="1">
        <v>44916.541666666664</v>
      </c>
      <c r="O253" t="s">
        <v>93</v>
      </c>
      <c r="P253" s="6">
        <v>1</v>
      </c>
    </row>
    <row r="254" spans="3:16" s="2" customFormat="1" x14ac:dyDescent="0.25">
      <c r="C254" s="2" t="s">
        <v>347</v>
      </c>
      <c r="I254" s="2">
        <v>268</v>
      </c>
      <c r="J254" s="2">
        <v>30</v>
      </c>
      <c r="K254" s="3">
        <v>44945.583333333336</v>
      </c>
      <c r="L254" s="3">
        <v>44987.541666666664</v>
      </c>
      <c r="M254" s="2">
        <v>223</v>
      </c>
      <c r="N254" s="2">
        <v>271</v>
      </c>
      <c r="P254" s="5">
        <v>0</v>
      </c>
    </row>
    <row r="255" spans="3:16" x14ac:dyDescent="0.25">
      <c r="D255" t="s">
        <v>248</v>
      </c>
      <c r="I255">
        <v>269</v>
      </c>
      <c r="J255">
        <v>15</v>
      </c>
      <c r="K255" s="1">
        <v>44945.583333333336</v>
      </c>
      <c r="L255" s="1">
        <v>44966.541666666664</v>
      </c>
      <c r="M255">
        <v>266</v>
      </c>
      <c r="N255">
        <v>270</v>
      </c>
      <c r="O255" t="s">
        <v>40</v>
      </c>
      <c r="P255" s="6">
        <v>0</v>
      </c>
    </row>
    <row r="256" spans="3:16" x14ac:dyDescent="0.25">
      <c r="D256" t="s">
        <v>92</v>
      </c>
      <c r="I256">
        <v>270</v>
      </c>
      <c r="J256">
        <v>15</v>
      </c>
      <c r="K256" s="1">
        <v>44966.583333333336</v>
      </c>
      <c r="L256" s="1">
        <v>44987.541666666664</v>
      </c>
      <c r="M256">
        <v>269</v>
      </c>
      <c r="O256" t="s">
        <v>93</v>
      </c>
      <c r="P256" s="6">
        <v>0</v>
      </c>
    </row>
    <row r="257" spans="2:16" x14ac:dyDescent="0.25">
      <c r="C257" t="s">
        <v>348</v>
      </c>
      <c r="I257">
        <v>271</v>
      </c>
      <c r="J257">
        <v>20</v>
      </c>
      <c r="K257" s="1">
        <v>44987.583333333336</v>
      </c>
      <c r="L257" s="1">
        <v>45015.541666666664</v>
      </c>
      <c r="M257">
        <v>268</v>
      </c>
      <c r="O257" t="s">
        <v>93</v>
      </c>
      <c r="P257" s="6">
        <v>0</v>
      </c>
    </row>
    <row r="258" spans="2:16" s="2" customFormat="1" x14ac:dyDescent="0.25">
      <c r="B258" s="2" t="s">
        <v>249</v>
      </c>
      <c r="I258" s="2">
        <v>272</v>
      </c>
      <c r="J258" s="2">
        <v>326</v>
      </c>
      <c r="K258" s="3">
        <v>44802.375</v>
      </c>
      <c r="L258" s="3">
        <v>45258.375</v>
      </c>
      <c r="P258" s="8">
        <v>0</v>
      </c>
    </row>
    <row r="259" spans="2:16" s="2" customFormat="1" x14ac:dyDescent="0.25">
      <c r="C259" s="2" t="s">
        <v>250</v>
      </c>
      <c r="I259" s="2">
        <v>273</v>
      </c>
      <c r="J259" s="2">
        <v>52</v>
      </c>
      <c r="K259" s="3">
        <v>44886.375</v>
      </c>
      <c r="L259" s="3">
        <v>44957.75</v>
      </c>
      <c r="P259" s="5">
        <v>0</v>
      </c>
    </row>
    <row r="260" spans="2:16" x14ac:dyDescent="0.25">
      <c r="D260" t="s">
        <v>251</v>
      </c>
      <c r="I260">
        <v>274</v>
      </c>
      <c r="J260">
        <v>52</v>
      </c>
      <c r="K260" s="1">
        <v>44886.375</v>
      </c>
      <c r="L260" s="1">
        <v>44957.75</v>
      </c>
      <c r="P260" s="6">
        <v>0</v>
      </c>
    </row>
    <row r="261" spans="2:16" s="2" customFormat="1" x14ac:dyDescent="0.25">
      <c r="C261" s="2" t="s">
        <v>252</v>
      </c>
      <c r="I261" s="2">
        <v>275</v>
      </c>
      <c r="J261" s="2">
        <v>72</v>
      </c>
      <c r="K261" s="3">
        <v>44875.375</v>
      </c>
      <c r="L261" s="3">
        <v>44977.375</v>
      </c>
      <c r="P261" s="5">
        <v>0</v>
      </c>
    </row>
    <row r="262" spans="2:16" x14ac:dyDescent="0.25">
      <c r="D262" t="s">
        <v>253</v>
      </c>
      <c r="I262">
        <v>276</v>
      </c>
      <c r="J262">
        <v>52</v>
      </c>
      <c r="K262" s="1">
        <v>44886.375</v>
      </c>
      <c r="L262" s="1">
        <v>44957.75</v>
      </c>
      <c r="P262" s="6">
        <v>0</v>
      </c>
    </row>
    <row r="263" spans="2:16" x14ac:dyDescent="0.25">
      <c r="D263" t="s">
        <v>254</v>
      </c>
      <c r="I263">
        <v>277</v>
      </c>
      <c r="J263">
        <v>59</v>
      </c>
      <c r="K263" s="1">
        <v>44875.375</v>
      </c>
      <c r="L263" s="1">
        <v>44957.75</v>
      </c>
      <c r="P263" s="6">
        <v>0</v>
      </c>
    </row>
    <row r="264" spans="2:16" x14ac:dyDescent="0.25">
      <c r="D264" t="s">
        <v>255</v>
      </c>
      <c r="I264">
        <v>278</v>
      </c>
      <c r="J264">
        <v>0</v>
      </c>
      <c r="K264" s="1">
        <v>44977.375</v>
      </c>
      <c r="L264" s="1">
        <v>44977.375</v>
      </c>
      <c r="P264" s="6">
        <v>0</v>
      </c>
    </row>
    <row r="265" spans="2:16" x14ac:dyDescent="0.25">
      <c r="D265" t="s">
        <v>256</v>
      </c>
      <c r="I265">
        <v>279</v>
      </c>
      <c r="J265">
        <v>0</v>
      </c>
      <c r="K265" s="1">
        <v>44977.375</v>
      </c>
      <c r="L265" s="1">
        <v>44977.375</v>
      </c>
      <c r="P265" s="6">
        <v>0</v>
      </c>
    </row>
    <row r="266" spans="2:16" x14ac:dyDescent="0.25">
      <c r="D266" t="s">
        <v>257</v>
      </c>
      <c r="I266">
        <v>280</v>
      </c>
      <c r="J266">
        <v>0</v>
      </c>
      <c r="K266" s="1">
        <v>44977.375</v>
      </c>
      <c r="L266" s="1">
        <v>44977.375</v>
      </c>
      <c r="P266" s="6">
        <v>0</v>
      </c>
    </row>
    <row r="267" spans="2:16" x14ac:dyDescent="0.25">
      <c r="D267" t="s">
        <v>258</v>
      </c>
      <c r="I267">
        <v>281</v>
      </c>
      <c r="J267">
        <v>0</v>
      </c>
      <c r="K267" s="1">
        <v>44977.375</v>
      </c>
      <c r="L267" s="1">
        <v>44977.375</v>
      </c>
      <c r="P267" s="6">
        <v>0</v>
      </c>
    </row>
    <row r="268" spans="2:16" s="2" customFormat="1" x14ac:dyDescent="0.25">
      <c r="C268" s="2" t="s">
        <v>259</v>
      </c>
      <c r="I268" s="2">
        <v>282</v>
      </c>
      <c r="J268" s="2">
        <v>56</v>
      </c>
      <c r="K268" s="3">
        <v>44880.375</v>
      </c>
      <c r="L268" s="3">
        <v>44957.75</v>
      </c>
      <c r="P268" s="5">
        <v>0</v>
      </c>
    </row>
    <row r="269" spans="2:16" x14ac:dyDescent="0.25">
      <c r="D269" t="s">
        <v>260</v>
      </c>
      <c r="I269">
        <v>283</v>
      </c>
      <c r="J269">
        <v>56</v>
      </c>
      <c r="K269" s="1">
        <v>44880.375</v>
      </c>
      <c r="L269" s="1">
        <v>44957.75</v>
      </c>
      <c r="P269" s="6">
        <v>0</v>
      </c>
    </row>
    <row r="270" spans="2:16" s="2" customFormat="1" x14ac:dyDescent="0.25">
      <c r="C270" s="2" t="s">
        <v>261</v>
      </c>
      <c r="I270" s="2">
        <v>284</v>
      </c>
      <c r="J270" s="2">
        <v>52</v>
      </c>
      <c r="K270" s="3">
        <v>44886.375</v>
      </c>
      <c r="L270" s="3">
        <v>44957.75</v>
      </c>
      <c r="P270" s="5">
        <v>0</v>
      </c>
    </row>
    <row r="271" spans="2:16" x14ac:dyDescent="0.25">
      <c r="D271" t="s">
        <v>349</v>
      </c>
      <c r="I271">
        <v>285</v>
      </c>
      <c r="J271">
        <v>52</v>
      </c>
      <c r="K271" s="1">
        <v>44886.375</v>
      </c>
      <c r="L271" s="1">
        <v>44957.75</v>
      </c>
      <c r="P271" s="6">
        <v>0</v>
      </c>
    </row>
    <row r="272" spans="2:16" s="2" customFormat="1" x14ac:dyDescent="0.25">
      <c r="C272" s="2" t="s">
        <v>262</v>
      </c>
      <c r="I272" s="2">
        <v>286</v>
      </c>
      <c r="J272" s="2">
        <v>34</v>
      </c>
      <c r="K272" s="3">
        <v>44910.375</v>
      </c>
      <c r="L272" s="3">
        <v>44957.75</v>
      </c>
      <c r="P272" s="5">
        <v>0</v>
      </c>
    </row>
    <row r="273" spans="3:16" x14ac:dyDescent="0.25">
      <c r="D273" t="s">
        <v>100</v>
      </c>
      <c r="I273">
        <v>287</v>
      </c>
      <c r="J273">
        <v>34</v>
      </c>
      <c r="K273" s="1">
        <v>44910.375</v>
      </c>
      <c r="L273" s="1">
        <v>44957.75</v>
      </c>
      <c r="P273" s="6">
        <v>0</v>
      </c>
    </row>
    <row r="274" spans="3:16" x14ac:dyDescent="0.25">
      <c r="D274" t="s">
        <v>350</v>
      </c>
      <c r="I274">
        <v>288</v>
      </c>
      <c r="J274">
        <v>34</v>
      </c>
      <c r="K274" s="1">
        <v>44910.375</v>
      </c>
      <c r="L274" s="1">
        <v>44957.75</v>
      </c>
      <c r="P274" s="6">
        <v>0</v>
      </c>
    </row>
    <row r="275" spans="3:16" s="2" customFormat="1" x14ac:dyDescent="0.25">
      <c r="C275" s="2" t="s">
        <v>263</v>
      </c>
      <c r="I275" s="2">
        <v>289</v>
      </c>
      <c r="J275" s="2">
        <v>0</v>
      </c>
      <c r="K275" s="3">
        <v>44984.375</v>
      </c>
      <c r="L275" s="3">
        <v>44984.375</v>
      </c>
      <c r="P275" s="5">
        <v>0</v>
      </c>
    </row>
    <row r="276" spans="3:16" x14ac:dyDescent="0.25">
      <c r="D276" t="s">
        <v>264</v>
      </c>
      <c r="I276">
        <v>290</v>
      </c>
      <c r="J276">
        <v>0</v>
      </c>
      <c r="K276" s="1">
        <v>44984.375</v>
      </c>
      <c r="L276" s="1">
        <v>44984.375</v>
      </c>
      <c r="P276" s="6">
        <v>0</v>
      </c>
    </row>
    <row r="277" spans="3:16" x14ac:dyDescent="0.25">
      <c r="D277" t="s">
        <v>265</v>
      </c>
      <c r="I277">
        <v>291</v>
      </c>
      <c r="J277">
        <v>0</v>
      </c>
      <c r="K277" s="1">
        <v>44984.375</v>
      </c>
      <c r="L277" s="1">
        <v>44984.375</v>
      </c>
      <c r="P277" s="6">
        <v>0</v>
      </c>
    </row>
    <row r="278" spans="3:16" x14ac:dyDescent="0.25">
      <c r="D278" t="s">
        <v>266</v>
      </c>
      <c r="I278">
        <v>292</v>
      </c>
      <c r="J278">
        <v>0</v>
      </c>
      <c r="K278" s="1">
        <v>44984.375</v>
      </c>
      <c r="L278" s="1">
        <v>44984.375</v>
      </c>
      <c r="P278" s="6">
        <v>0</v>
      </c>
    </row>
    <row r="279" spans="3:16" s="2" customFormat="1" x14ac:dyDescent="0.25">
      <c r="C279" s="2" t="s">
        <v>267</v>
      </c>
      <c r="I279" s="2">
        <v>293</v>
      </c>
      <c r="J279" s="2">
        <v>0</v>
      </c>
      <c r="K279" s="3">
        <v>44984.375</v>
      </c>
      <c r="L279" s="3">
        <v>44984.375</v>
      </c>
      <c r="P279" s="5">
        <v>0</v>
      </c>
    </row>
    <row r="280" spans="3:16" x14ac:dyDescent="0.25">
      <c r="D280" t="s">
        <v>268</v>
      </c>
      <c r="I280">
        <v>294</v>
      </c>
      <c r="J280">
        <v>0</v>
      </c>
      <c r="K280" s="1">
        <v>44984.375</v>
      </c>
      <c r="L280" s="1">
        <v>44984.375</v>
      </c>
      <c r="P280" s="6">
        <v>0</v>
      </c>
    </row>
    <row r="281" spans="3:16" x14ac:dyDescent="0.25">
      <c r="D281" t="s">
        <v>201</v>
      </c>
      <c r="I281">
        <v>295</v>
      </c>
      <c r="J281">
        <v>0</v>
      </c>
      <c r="K281" s="1">
        <v>44984.375</v>
      </c>
      <c r="L281" s="1">
        <v>44984.375</v>
      </c>
      <c r="P281" s="6">
        <v>0</v>
      </c>
    </row>
    <row r="282" spans="3:16" x14ac:dyDescent="0.25">
      <c r="D282" t="s">
        <v>269</v>
      </c>
      <c r="I282">
        <v>296</v>
      </c>
      <c r="J282">
        <v>0</v>
      </c>
      <c r="K282" s="1">
        <v>44984.375</v>
      </c>
      <c r="L282" s="1">
        <v>44984.375</v>
      </c>
      <c r="P282" s="6">
        <v>0</v>
      </c>
    </row>
    <row r="283" spans="3:16" x14ac:dyDescent="0.25">
      <c r="D283" t="s">
        <v>270</v>
      </c>
      <c r="I283">
        <v>297</v>
      </c>
      <c r="J283">
        <v>0</v>
      </c>
      <c r="K283" s="1">
        <v>44984.375</v>
      </c>
      <c r="L283" s="1">
        <v>44984.375</v>
      </c>
      <c r="P283" s="6">
        <v>0</v>
      </c>
    </row>
    <row r="284" spans="3:16" x14ac:dyDescent="0.25">
      <c r="D284" t="s">
        <v>271</v>
      </c>
      <c r="I284">
        <v>298</v>
      </c>
      <c r="J284">
        <v>0</v>
      </c>
      <c r="K284" s="1">
        <v>44984.375</v>
      </c>
      <c r="L284" s="1">
        <v>44984.375</v>
      </c>
      <c r="P284" s="6">
        <v>0</v>
      </c>
    </row>
    <row r="285" spans="3:16" x14ac:dyDescent="0.25">
      <c r="C285" t="s">
        <v>272</v>
      </c>
      <c r="I285">
        <v>299</v>
      </c>
      <c r="J285">
        <v>0</v>
      </c>
      <c r="K285" s="1">
        <v>45167.375</v>
      </c>
      <c r="L285" s="1">
        <v>45167.375</v>
      </c>
      <c r="P285" s="6">
        <v>0</v>
      </c>
    </row>
    <row r="286" spans="3:16" x14ac:dyDescent="0.25">
      <c r="C286" t="s">
        <v>273</v>
      </c>
      <c r="I286">
        <v>300</v>
      </c>
      <c r="J286">
        <v>0</v>
      </c>
      <c r="K286" s="1">
        <v>45167.375</v>
      </c>
      <c r="L286" s="1">
        <v>45167.375</v>
      </c>
      <c r="P286" s="6">
        <v>0</v>
      </c>
    </row>
    <row r="287" spans="3:16" x14ac:dyDescent="0.25">
      <c r="C287" t="s">
        <v>274</v>
      </c>
      <c r="I287">
        <v>301</v>
      </c>
      <c r="J287">
        <v>0</v>
      </c>
      <c r="K287" s="1">
        <v>45167.375</v>
      </c>
      <c r="L287" s="1">
        <v>45167.375</v>
      </c>
      <c r="P287" s="6">
        <v>0</v>
      </c>
    </row>
    <row r="288" spans="3:16" s="2" customFormat="1" x14ac:dyDescent="0.25">
      <c r="C288" s="2" t="s">
        <v>275</v>
      </c>
      <c r="I288" s="2">
        <v>302</v>
      </c>
      <c r="J288" s="2">
        <v>261</v>
      </c>
      <c r="K288" s="3">
        <v>44893.375</v>
      </c>
      <c r="L288" s="3">
        <v>45258.375</v>
      </c>
      <c r="P288" s="5">
        <v>0</v>
      </c>
    </row>
    <row r="289" spans="2:16" x14ac:dyDescent="0.25">
      <c r="D289" t="s">
        <v>276</v>
      </c>
      <c r="I289">
        <v>303</v>
      </c>
      <c r="J289">
        <v>25</v>
      </c>
      <c r="K289" s="1">
        <v>44893.375</v>
      </c>
      <c r="L289" s="1">
        <v>44925.75</v>
      </c>
      <c r="P289" s="6">
        <v>0</v>
      </c>
    </row>
    <row r="290" spans="2:16" x14ac:dyDescent="0.25">
      <c r="D290" t="s">
        <v>277</v>
      </c>
      <c r="I290">
        <v>304</v>
      </c>
      <c r="J290">
        <v>1</v>
      </c>
      <c r="K290" s="1">
        <v>44984.375</v>
      </c>
      <c r="L290" s="1">
        <v>44984.75</v>
      </c>
      <c r="P290" s="6">
        <v>0</v>
      </c>
    </row>
    <row r="291" spans="2:16" x14ac:dyDescent="0.25">
      <c r="D291" t="s">
        <v>278</v>
      </c>
      <c r="I291">
        <v>305</v>
      </c>
      <c r="J291">
        <v>0</v>
      </c>
      <c r="K291" s="1">
        <v>45258.375</v>
      </c>
      <c r="L291" s="1">
        <v>45258.375</v>
      </c>
      <c r="P291" s="6">
        <v>0</v>
      </c>
    </row>
    <row r="292" spans="2:16" s="2" customFormat="1" x14ac:dyDescent="0.25">
      <c r="C292" s="2" t="s">
        <v>279</v>
      </c>
      <c r="I292" s="2">
        <v>306</v>
      </c>
      <c r="J292" s="2">
        <v>90</v>
      </c>
      <c r="K292" s="3">
        <v>44802.375</v>
      </c>
      <c r="L292" s="3">
        <v>44925.75</v>
      </c>
      <c r="P292" s="5">
        <v>0</v>
      </c>
    </row>
    <row r="293" spans="2:16" x14ac:dyDescent="0.25">
      <c r="D293" t="s">
        <v>280</v>
      </c>
      <c r="I293">
        <v>307</v>
      </c>
      <c r="J293">
        <v>90</v>
      </c>
      <c r="K293" s="1">
        <v>44802.375</v>
      </c>
      <c r="L293" s="1">
        <v>44925.75</v>
      </c>
      <c r="P293" s="6">
        <v>0</v>
      </c>
    </row>
    <row r="294" spans="2:16" x14ac:dyDescent="0.25">
      <c r="D294" t="s">
        <v>281</v>
      </c>
      <c r="I294">
        <v>308</v>
      </c>
      <c r="J294">
        <v>90</v>
      </c>
      <c r="K294" s="1">
        <v>44802.375</v>
      </c>
      <c r="L294" s="1">
        <v>44925.75</v>
      </c>
      <c r="P294" s="6">
        <v>0</v>
      </c>
    </row>
    <row r="295" spans="2:16" x14ac:dyDescent="0.25">
      <c r="D295" t="s">
        <v>282</v>
      </c>
      <c r="I295">
        <v>309</v>
      </c>
      <c r="J295">
        <v>90</v>
      </c>
      <c r="K295" s="1">
        <v>44802.375</v>
      </c>
      <c r="L295" s="1">
        <v>44925.75</v>
      </c>
      <c r="P295" s="6">
        <v>0</v>
      </c>
    </row>
    <row r="296" spans="2:16" x14ac:dyDescent="0.25">
      <c r="D296" t="s">
        <v>283</v>
      </c>
      <c r="I296">
        <v>310</v>
      </c>
      <c r="J296">
        <v>90</v>
      </c>
      <c r="K296" s="1">
        <v>44802.375</v>
      </c>
      <c r="L296" s="1">
        <v>44925.75</v>
      </c>
      <c r="P296" s="6">
        <v>0</v>
      </c>
    </row>
    <row r="297" spans="2:16" x14ac:dyDescent="0.25">
      <c r="D297" t="s">
        <v>284</v>
      </c>
      <c r="I297">
        <v>311</v>
      </c>
      <c r="J297">
        <v>25</v>
      </c>
      <c r="K297" s="1">
        <v>44893.375</v>
      </c>
      <c r="L297" s="1">
        <v>44925.75</v>
      </c>
      <c r="P297" s="6">
        <v>0</v>
      </c>
    </row>
    <row r="298" spans="2:16" s="2" customFormat="1" x14ac:dyDescent="0.25">
      <c r="B298" s="2" t="s">
        <v>285</v>
      </c>
      <c r="I298" s="2">
        <v>312</v>
      </c>
      <c r="J298" s="2">
        <v>265</v>
      </c>
      <c r="K298" s="3">
        <v>44886.375</v>
      </c>
      <c r="L298" s="3">
        <v>45257.375</v>
      </c>
      <c r="P298" s="8">
        <v>0</v>
      </c>
    </row>
    <row r="299" spans="2:16" s="2" customFormat="1" x14ac:dyDescent="0.25">
      <c r="C299" s="2" t="s">
        <v>286</v>
      </c>
      <c r="I299" s="2">
        <v>313</v>
      </c>
      <c r="J299" s="2">
        <v>70</v>
      </c>
      <c r="K299" s="3">
        <v>44886.375</v>
      </c>
      <c r="L299" s="3">
        <v>44984.375</v>
      </c>
      <c r="P299" s="5">
        <v>0</v>
      </c>
    </row>
    <row r="300" spans="2:16" x14ac:dyDescent="0.25">
      <c r="D300" t="s">
        <v>287</v>
      </c>
      <c r="I300">
        <v>314</v>
      </c>
      <c r="J300">
        <v>0</v>
      </c>
      <c r="K300" s="1">
        <v>44886.375</v>
      </c>
      <c r="L300" s="1">
        <v>44886.375</v>
      </c>
      <c r="P300" s="6">
        <v>1</v>
      </c>
    </row>
    <row r="301" spans="2:16" x14ac:dyDescent="0.25">
      <c r="D301" t="s">
        <v>288</v>
      </c>
      <c r="I301">
        <v>315</v>
      </c>
      <c r="J301">
        <v>0</v>
      </c>
      <c r="K301" s="1">
        <v>44893.375</v>
      </c>
      <c r="L301" s="1">
        <v>44893.375</v>
      </c>
      <c r="P301" s="6">
        <v>1</v>
      </c>
    </row>
    <row r="302" spans="2:16" x14ac:dyDescent="0.25">
      <c r="D302" t="s">
        <v>289</v>
      </c>
      <c r="I302">
        <v>316</v>
      </c>
      <c r="J302">
        <v>0</v>
      </c>
      <c r="K302" s="1">
        <v>44886.375</v>
      </c>
      <c r="L302" s="1">
        <v>44886.375</v>
      </c>
      <c r="P302" s="6">
        <v>1</v>
      </c>
    </row>
    <row r="303" spans="2:16" x14ac:dyDescent="0.25">
      <c r="D303" t="s">
        <v>290</v>
      </c>
      <c r="I303">
        <v>317</v>
      </c>
      <c r="J303">
        <v>0</v>
      </c>
      <c r="K303" s="1">
        <v>44893.375</v>
      </c>
      <c r="L303" s="1">
        <v>44893.375</v>
      </c>
      <c r="P303" s="6">
        <v>1</v>
      </c>
    </row>
    <row r="304" spans="2:16" x14ac:dyDescent="0.25">
      <c r="D304" t="s">
        <v>291</v>
      </c>
      <c r="I304">
        <v>318</v>
      </c>
      <c r="J304">
        <v>0</v>
      </c>
      <c r="K304" s="1">
        <v>44893.375</v>
      </c>
      <c r="L304" s="1">
        <v>44893.375</v>
      </c>
      <c r="P304" s="6">
        <v>1</v>
      </c>
    </row>
    <row r="305" spans="3:16" x14ac:dyDescent="0.25">
      <c r="D305" t="s">
        <v>292</v>
      </c>
      <c r="I305">
        <v>319</v>
      </c>
      <c r="J305">
        <v>0</v>
      </c>
      <c r="K305" s="1">
        <v>44893.375</v>
      </c>
      <c r="L305" s="1">
        <v>44893.375</v>
      </c>
      <c r="P305" s="6">
        <v>1</v>
      </c>
    </row>
    <row r="306" spans="3:16" x14ac:dyDescent="0.25">
      <c r="D306" t="s">
        <v>293</v>
      </c>
      <c r="I306">
        <v>320</v>
      </c>
      <c r="J306">
        <v>0</v>
      </c>
      <c r="K306" s="1">
        <v>44907.375</v>
      </c>
      <c r="L306" s="1">
        <v>44907.375</v>
      </c>
      <c r="P306" s="6">
        <v>1</v>
      </c>
    </row>
    <row r="307" spans="3:16" x14ac:dyDescent="0.25">
      <c r="D307" t="s">
        <v>294</v>
      </c>
      <c r="I307">
        <v>321</v>
      </c>
      <c r="J307">
        <v>0</v>
      </c>
      <c r="K307" s="1">
        <v>44984.375</v>
      </c>
      <c r="L307" s="1">
        <v>44984.375</v>
      </c>
      <c r="P307" s="6">
        <v>0</v>
      </c>
    </row>
    <row r="308" spans="3:16" x14ac:dyDescent="0.25">
      <c r="D308" t="s">
        <v>295</v>
      </c>
      <c r="I308">
        <v>322</v>
      </c>
      <c r="J308">
        <v>0</v>
      </c>
      <c r="K308" s="1">
        <v>44984.375</v>
      </c>
      <c r="L308" s="1">
        <v>44984.375</v>
      </c>
      <c r="P308" s="6">
        <v>0</v>
      </c>
    </row>
    <row r="309" spans="3:16" x14ac:dyDescent="0.25">
      <c r="D309" t="s">
        <v>296</v>
      </c>
      <c r="I309">
        <v>323</v>
      </c>
      <c r="J309">
        <v>0</v>
      </c>
      <c r="K309" s="1">
        <v>44984.375</v>
      </c>
      <c r="L309" s="1">
        <v>44984.375</v>
      </c>
      <c r="P309" s="6">
        <v>0</v>
      </c>
    </row>
    <row r="310" spans="3:16" x14ac:dyDescent="0.25">
      <c r="D310" t="s">
        <v>297</v>
      </c>
      <c r="I310">
        <v>324</v>
      </c>
      <c r="J310">
        <v>0</v>
      </c>
      <c r="K310" s="1">
        <v>44984.375</v>
      </c>
      <c r="L310" s="1">
        <v>44984.375</v>
      </c>
      <c r="P310" s="6">
        <v>0</v>
      </c>
    </row>
    <row r="311" spans="3:16" x14ac:dyDescent="0.25">
      <c r="D311" t="s">
        <v>298</v>
      </c>
      <c r="I311">
        <v>325</v>
      </c>
      <c r="J311">
        <v>0</v>
      </c>
      <c r="K311" s="1">
        <v>44984.375</v>
      </c>
      <c r="L311" s="1">
        <v>44984.375</v>
      </c>
      <c r="P311" s="6">
        <v>0</v>
      </c>
    </row>
    <row r="312" spans="3:16" x14ac:dyDescent="0.25">
      <c r="D312" t="s">
        <v>299</v>
      </c>
      <c r="I312">
        <v>326</v>
      </c>
      <c r="J312">
        <v>0</v>
      </c>
      <c r="K312" s="1">
        <v>44984.375</v>
      </c>
      <c r="L312" s="1">
        <v>44984.375</v>
      </c>
      <c r="P312" s="6">
        <v>0</v>
      </c>
    </row>
    <row r="313" spans="3:16" x14ac:dyDescent="0.25">
      <c r="C313" t="s">
        <v>300</v>
      </c>
      <c r="I313">
        <v>327</v>
      </c>
      <c r="J313">
        <v>0</v>
      </c>
      <c r="K313" s="1">
        <v>45075.375</v>
      </c>
      <c r="L313" s="1">
        <v>45075.375</v>
      </c>
      <c r="P313" s="6">
        <v>0</v>
      </c>
    </row>
    <row r="314" spans="3:16" x14ac:dyDescent="0.25">
      <c r="C314" t="s">
        <v>301</v>
      </c>
      <c r="I314">
        <v>328</v>
      </c>
      <c r="J314">
        <v>0</v>
      </c>
      <c r="K314" s="1">
        <v>45075.375</v>
      </c>
      <c r="L314" s="1">
        <v>45075.375</v>
      </c>
      <c r="P314" s="6">
        <v>0</v>
      </c>
    </row>
    <row r="315" spans="3:16" s="2" customFormat="1" x14ac:dyDescent="0.25">
      <c r="C315" s="2" t="s">
        <v>302</v>
      </c>
      <c r="I315" s="2">
        <v>329</v>
      </c>
      <c r="J315" s="2">
        <v>0</v>
      </c>
      <c r="K315" s="3">
        <v>45167.375</v>
      </c>
      <c r="L315" s="3">
        <v>45167.375</v>
      </c>
      <c r="P315" s="5">
        <v>0</v>
      </c>
    </row>
    <row r="316" spans="3:16" x14ac:dyDescent="0.25">
      <c r="D316" t="s">
        <v>303</v>
      </c>
      <c r="I316">
        <v>330</v>
      </c>
      <c r="J316">
        <v>0</v>
      </c>
      <c r="K316" s="1">
        <v>45167.375</v>
      </c>
      <c r="L316" s="1">
        <v>45167.375</v>
      </c>
      <c r="P316" s="6">
        <v>0</v>
      </c>
    </row>
    <row r="317" spans="3:16" x14ac:dyDescent="0.25">
      <c r="D317" t="s">
        <v>304</v>
      </c>
      <c r="I317">
        <v>331</v>
      </c>
      <c r="J317">
        <v>0</v>
      </c>
      <c r="K317" s="1">
        <v>45167.375</v>
      </c>
      <c r="L317" s="1">
        <v>45167.375</v>
      </c>
      <c r="P317" s="6">
        <v>0</v>
      </c>
    </row>
    <row r="318" spans="3:16" x14ac:dyDescent="0.25">
      <c r="D318" t="s">
        <v>305</v>
      </c>
      <c r="I318">
        <v>332</v>
      </c>
      <c r="J318">
        <v>0</v>
      </c>
      <c r="K318" s="1">
        <v>45167.375</v>
      </c>
      <c r="L318" s="1">
        <v>45167.375</v>
      </c>
      <c r="P318" s="6">
        <v>0</v>
      </c>
    </row>
    <row r="319" spans="3:16" x14ac:dyDescent="0.25">
      <c r="D319" t="s">
        <v>306</v>
      </c>
      <c r="I319">
        <v>333</v>
      </c>
      <c r="J319">
        <v>0</v>
      </c>
      <c r="K319" s="1">
        <v>45167.375</v>
      </c>
      <c r="L319" s="1">
        <v>45167.375</v>
      </c>
      <c r="P319" s="6">
        <v>0</v>
      </c>
    </row>
    <row r="320" spans="3:16" x14ac:dyDescent="0.25">
      <c r="D320" t="s">
        <v>307</v>
      </c>
      <c r="I320">
        <v>334</v>
      </c>
      <c r="J320">
        <v>0</v>
      </c>
      <c r="K320" s="1">
        <v>45167.375</v>
      </c>
      <c r="L320" s="1">
        <v>45167.375</v>
      </c>
      <c r="P320" s="6">
        <v>0</v>
      </c>
    </row>
    <row r="321" spans="3:16" x14ac:dyDescent="0.25">
      <c r="D321" t="s">
        <v>308</v>
      </c>
      <c r="I321">
        <v>335</v>
      </c>
      <c r="J321">
        <v>0</v>
      </c>
      <c r="K321" s="1">
        <v>45167.375</v>
      </c>
      <c r="L321" s="1">
        <v>45167.375</v>
      </c>
      <c r="P321" s="6">
        <v>0</v>
      </c>
    </row>
    <row r="322" spans="3:16" x14ac:dyDescent="0.25">
      <c r="D322" t="s">
        <v>309</v>
      </c>
      <c r="I322">
        <v>336</v>
      </c>
      <c r="J322">
        <v>0</v>
      </c>
      <c r="K322" s="1">
        <v>45167.375</v>
      </c>
      <c r="L322" s="1">
        <v>45167.375</v>
      </c>
      <c r="P322" s="6">
        <v>0</v>
      </c>
    </row>
    <row r="323" spans="3:16" x14ac:dyDescent="0.25">
      <c r="D323" t="s">
        <v>310</v>
      </c>
      <c r="I323">
        <v>337</v>
      </c>
      <c r="J323">
        <v>0</v>
      </c>
      <c r="K323" s="1">
        <v>45167.375</v>
      </c>
      <c r="L323" s="1">
        <v>45167.375</v>
      </c>
      <c r="P323" s="6">
        <v>0</v>
      </c>
    </row>
    <row r="324" spans="3:16" x14ac:dyDescent="0.25">
      <c r="C324" t="s">
        <v>311</v>
      </c>
      <c r="I324">
        <v>338</v>
      </c>
      <c r="J324">
        <v>0</v>
      </c>
      <c r="K324" s="1">
        <v>45167.375</v>
      </c>
      <c r="L324" s="1">
        <v>45167.375</v>
      </c>
      <c r="P324" s="6">
        <v>0</v>
      </c>
    </row>
    <row r="325" spans="3:16" x14ac:dyDescent="0.25">
      <c r="C325" t="s">
        <v>120</v>
      </c>
      <c r="I325">
        <v>339</v>
      </c>
      <c r="J325">
        <v>0</v>
      </c>
      <c r="K325" s="1">
        <v>45166.375</v>
      </c>
      <c r="L325" s="1">
        <v>45166.375</v>
      </c>
      <c r="P325" s="6">
        <v>0</v>
      </c>
    </row>
    <row r="326" spans="3:16" x14ac:dyDescent="0.25">
      <c r="C326" t="s">
        <v>312</v>
      </c>
      <c r="I326">
        <v>340</v>
      </c>
      <c r="J326">
        <v>0</v>
      </c>
      <c r="K326" s="1">
        <v>45257.375</v>
      </c>
      <c r="L326" s="1">
        <v>45257.375</v>
      </c>
      <c r="P326" s="6">
        <v>0</v>
      </c>
    </row>
  </sheetData>
  <conditionalFormatting sqref="B2:H2000">
    <cfRule type="expression" dxfId="19" priority="9">
      <formula>P2=100%</formula>
    </cfRule>
  </conditionalFormatting>
  <conditionalFormatting sqref="C2:H2000">
    <cfRule type="expression" dxfId="18" priority="6">
      <formula>P2=100%</formula>
    </cfRule>
  </conditionalFormatting>
  <conditionalFormatting sqref="D2:D2000">
    <cfRule type="expression" dxfId="17" priority="16">
      <formula>P2=100%</formula>
    </cfRule>
  </conditionalFormatting>
  <conditionalFormatting sqref="L1:L1048576">
    <cfRule type="cellIs" dxfId="16" priority="11" operator="lessThan">
      <formula>44927</formula>
    </cfRule>
    <cfRule type="cellIs" dxfId="15" priority="12" operator="lessThan">
      <formula>44986</formula>
    </cfRule>
    <cfRule type="cellIs" dxfId="14" priority="13" operator="lessThan">
      <formula>45108</formula>
    </cfRule>
  </conditionalFormatting>
  <conditionalFormatting sqref="E2:H2000">
    <cfRule type="expression" dxfId="13" priority="5">
      <formula>P2=100%</formula>
    </cfRule>
    <cfRule type="expression" dxfId="12" priority="10">
      <formula>P2&gt;0%</formula>
    </cfRule>
  </conditionalFormatting>
  <conditionalFormatting sqref="F2:H2000">
    <cfRule type="expression" dxfId="11" priority="3">
      <formula>P2=100%</formula>
    </cfRule>
    <cfRule type="expression" dxfId="10" priority="18">
      <formula>P2&gt;0%</formula>
    </cfRule>
  </conditionalFormatting>
  <conditionalFormatting sqref="G2:H2000">
    <cfRule type="expression" dxfId="9" priority="8">
      <formula>P2=100%</formula>
    </cfRule>
  </conditionalFormatting>
  <conditionalFormatting sqref="H2:H2000">
    <cfRule type="expression" dxfId="8" priority="7">
      <formula>P2=100%</formula>
    </cfRule>
  </conditionalFormatting>
  <conditionalFormatting sqref="D2:H2000">
    <cfRule type="expression" dxfId="7" priority="17">
      <formula>P2&gt;0%</formula>
    </cfRule>
  </conditionalFormatting>
  <conditionalFormatting sqref="B1:B1048576">
    <cfRule type="containsText" dxfId="6" priority="1" operator="containsText" text="ДЕДЛАЙНЫ СИЭР">
      <formula>NOT(ISERROR(SEARCH("ДЕДЛАЙНЫ СИЭР",B1)))</formula>
    </cfRule>
    <cfRule type="containsText" dxfId="5" priority="2" operator="containsText" text="ГОТОВНОСТЬ МИКРОСЕРВИСОВ">
      <formula>NOT(ISERROR(SEARCH("ГОТОВНОСТЬ МИКРОСЕРВИСОВ",B1)))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2B6F5-E661-467E-B67E-8337DBFC9E08}">
  <sheetPr codeName="Лист2" filterMode="1"/>
  <dimension ref="A1:Q395"/>
  <sheetViews>
    <sheetView topLeftCell="A175" workbookViewId="0">
      <selection activeCell="A204" sqref="A204"/>
    </sheetView>
  </sheetViews>
  <sheetFormatPr defaultRowHeight="15" x14ac:dyDescent="0.25"/>
  <cols>
    <col min="11" max="11" width="17.28515625" customWidth="1"/>
    <col min="12" max="12" width="18.85546875" customWidth="1"/>
    <col min="13" max="13" width="10.5703125" customWidth="1"/>
  </cols>
  <sheetData>
    <row r="1" spans="1:17" x14ac:dyDescent="0.25">
      <c r="A1">
        <v>0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 t="s">
        <v>0</v>
      </c>
      <c r="J1" t="s">
        <v>1</v>
      </c>
      <c r="K1" t="s">
        <v>2</v>
      </c>
      <c r="L1" t="s">
        <v>3</v>
      </c>
      <c r="M1" t="s">
        <v>4</v>
      </c>
      <c r="N1" t="s">
        <v>5</v>
      </c>
      <c r="O1" t="s">
        <v>6</v>
      </c>
      <c r="P1" t="s">
        <v>351</v>
      </c>
      <c r="Q1" t="s">
        <v>625</v>
      </c>
    </row>
    <row r="2" spans="1:17" s="2" customFormat="1" hidden="1" x14ac:dyDescent="0.25">
      <c r="B2" s="2" t="s">
        <v>7</v>
      </c>
      <c r="I2" s="2">
        <v>1</v>
      </c>
      <c r="J2" s="2">
        <v>131</v>
      </c>
      <c r="K2" s="3">
        <v>44789.75</v>
      </c>
      <c r="L2" s="3">
        <v>44972.75</v>
      </c>
      <c r="P2" s="2">
        <v>1</v>
      </c>
      <c r="Q2" s="2" t="s">
        <v>626</v>
      </c>
    </row>
    <row r="3" spans="1:17" hidden="1" x14ac:dyDescent="0.25">
      <c r="C3" t="s">
        <v>8</v>
      </c>
      <c r="I3">
        <v>2</v>
      </c>
      <c r="J3">
        <v>0</v>
      </c>
      <c r="K3" s="1">
        <v>44789.75</v>
      </c>
      <c r="L3" s="1">
        <v>44789.75</v>
      </c>
      <c r="M3">
        <v>147</v>
      </c>
      <c r="P3">
        <v>1</v>
      </c>
      <c r="Q3" t="s">
        <v>626</v>
      </c>
    </row>
    <row r="4" spans="1:17" hidden="1" x14ac:dyDescent="0.25">
      <c r="C4" t="s">
        <v>10</v>
      </c>
      <c r="I4">
        <v>3</v>
      </c>
      <c r="J4">
        <v>0</v>
      </c>
      <c r="K4" s="1">
        <v>44838.75</v>
      </c>
      <c r="L4" s="1">
        <v>44838.75</v>
      </c>
      <c r="M4">
        <v>207</v>
      </c>
      <c r="P4">
        <v>1</v>
      </c>
      <c r="Q4" t="s">
        <v>626</v>
      </c>
    </row>
    <row r="5" spans="1:17" hidden="1" x14ac:dyDescent="0.25">
      <c r="C5" t="s">
        <v>11</v>
      </c>
      <c r="I5">
        <v>4</v>
      </c>
      <c r="J5">
        <v>0</v>
      </c>
      <c r="K5" s="1">
        <v>44886.375</v>
      </c>
      <c r="L5" s="1">
        <v>44886.375</v>
      </c>
      <c r="P5">
        <v>1</v>
      </c>
      <c r="Q5" t="s">
        <v>626</v>
      </c>
    </row>
    <row r="6" spans="1:17" hidden="1" x14ac:dyDescent="0.25">
      <c r="C6" t="s">
        <v>9</v>
      </c>
      <c r="I6">
        <v>5</v>
      </c>
      <c r="J6">
        <v>0</v>
      </c>
      <c r="K6" s="1">
        <v>44900.541666666664</v>
      </c>
      <c r="L6" s="1">
        <v>44900.541666666664</v>
      </c>
      <c r="M6" t="s">
        <v>352</v>
      </c>
      <c r="P6">
        <v>1</v>
      </c>
      <c r="Q6" t="s">
        <v>626</v>
      </c>
    </row>
    <row r="7" spans="1:17" hidden="1" x14ac:dyDescent="0.25">
      <c r="C7" t="s">
        <v>353</v>
      </c>
      <c r="I7">
        <v>6</v>
      </c>
      <c r="J7">
        <v>0</v>
      </c>
      <c r="K7" s="1">
        <v>44972.75</v>
      </c>
      <c r="L7" s="1">
        <v>44972.75</v>
      </c>
      <c r="M7" t="s">
        <v>354</v>
      </c>
      <c r="P7">
        <v>1</v>
      </c>
      <c r="Q7" t="s">
        <v>626</v>
      </c>
    </row>
    <row r="8" spans="1:17" hidden="1" x14ac:dyDescent="0.25">
      <c r="C8" t="s">
        <v>13</v>
      </c>
      <c r="I8">
        <v>7</v>
      </c>
      <c r="J8">
        <v>0</v>
      </c>
      <c r="K8" s="1">
        <v>44946.75</v>
      </c>
      <c r="L8" s="1">
        <v>44946.75</v>
      </c>
      <c r="M8">
        <v>284</v>
      </c>
      <c r="P8">
        <v>1</v>
      </c>
      <c r="Q8" t="s">
        <v>626</v>
      </c>
    </row>
    <row r="9" spans="1:17" s="2" customFormat="1" x14ac:dyDescent="0.25">
      <c r="B9" s="2" t="s">
        <v>355</v>
      </c>
      <c r="I9" s="2">
        <v>8</v>
      </c>
      <c r="J9" s="2">
        <v>128.5</v>
      </c>
      <c r="K9" s="3">
        <v>44872.75</v>
      </c>
      <c r="L9" s="3">
        <v>45051.541666666664</v>
      </c>
      <c r="P9" s="2">
        <v>0.21</v>
      </c>
      <c r="Q9" s="2" t="s">
        <v>626</v>
      </c>
    </row>
    <row r="10" spans="1:17" s="2" customFormat="1" hidden="1" x14ac:dyDescent="0.25">
      <c r="C10" s="2" t="s">
        <v>356</v>
      </c>
      <c r="I10" s="2">
        <v>9</v>
      </c>
      <c r="J10" s="2">
        <v>30</v>
      </c>
      <c r="K10" s="3">
        <v>44872.75</v>
      </c>
      <c r="L10" s="3">
        <v>44914.75</v>
      </c>
      <c r="P10" s="2">
        <v>1</v>
      </c>
      <c r="Q10" s="2" t="s">
        <v>626</v>
      </c>
    </row>
    <row r="11" spans="1:17" hidden="1" x14ac:dyDescent="0.25">
      <c r="D11" t="s">
        <v>357</v>
      </c>
      <c r="I11">
        <v>10</v>
      </c>
      <c r="J11">
        <v>0</v>
      </c>
      <c r="K11" s="1">
        <v>44872.75</v>
      </c>
      <c r="L11" s="1">
        <v>44872.75</v>
      </c>
      <c r="M11">
        <v>320</v>
      </c>
      <c r="P11">
        <v>1</v>
      </c>
      <c r="Q11" t="s">
        <v>626</v>
      </c>
    </row>
    <row r="12" spans="1:17" hidden="1" x14ac:dyDescent="0.25">
      <c r="D12" t="s">
        <v>358</v>
      </c>
      <c r="I12">
        <v>11</v>
      </c>
      <c r="J12">
        <v>0</v>
      </c>
      <c r="K12" s="1">
        <v>44893.75</v>
      </c>
      <c r="L12" s="1">
        <v>44893.75</v>
      </c>
      <c r="M12">
        <v>325</v>
      </c>
      <c r="P12">
        <v>1</v>
      </c>
      <c r="Q12" t="s">
        <v>626</v>
      </c>
    </row>
    <row r="13" spans="1:17" hidden="1" x14ac:dyDescent="0.25">
      <c r="D13" t="s">
        <v>359</v>
      </c>
      <c r="I13">
        <v>12</v>
      </c>
      <c r="J13">
        <v>0</v>
      </c>
      <c r="K13" s="1">
        <v>44900.75</v>
      </c>
      <c r="L13" s="1">
        <v>44900.75</v>
      </c>
      <c r="M13">
        <v>326</v>
      </c>
      <c r="P13">
        <v>1</v>
      </c>
      <c r="Q13" t="s">
        <v>626</v>
      </c>
    </row>
    <row r="14" spans="1:17" hidden="1" x14ac:dyDescent="0.25">
      <c r="D14" t="s">
        <v>360</v>
      </c>
      <c r="I14">
        <v>13</v>
      </c>
      <c r="J14">
        <v>0</v>
      </c>
      <c r="K14" s="1">
        <v>44907.75</v>
      </c>
      <c r="L14" s="1">
        <v>44907.75</v>
      </c>
      <c r="M14">
        <v>327</v>
      </c>
      <c r="P14">
        <v>1</v>
      </c>
      <c r="Q14" t="s">
        <v>626</v>
      </c>
    </row>
    <row r="15" spans="1:17" hidden="1" x14ac:dyDescent="0.25">
      <c r="D15" t="s">
        <v>361</v>
      </c>
      <c r="I15">
        <v>14</v>
      </c>
      <c r="J15">
        <v>0</v>
      </c>
      <c r="K15" s="1">
        <v>44907.75</v>
      </c>
      <c r="L15" s="1">
        <v>44907.75</v>
      </c>
      <c r="M15">
        <v>328</v>
      </c>
      <c r="P15">
        <v>1</v>
      </c>
      <c r="Q15" t="s">
        <v>626</v>
      </c>
    </row>
    <row r="16" spans="1:17" hidden="1" x14ac:dyDescent="0.25">
      <c r="D16" t="s">
        <v>362</v>
      </c>
      <c r="I16">
        <v>15</v>
      </c>
      <c r="J16">
        <v>0</v>
      </c>
      <c r="K16" s="1">
        <v>44907.75</v>
      </c>
      <c r="L16" s="1">
        <v>44907.75</v>
      </c>
      <c r="M16">
        <v>328</v>
      </c>
      <c r="P16">
        <v>1</v>
      </c>
      <c r="Q16" t="s">
        <v>626</v>
      </c>
    </row>
    <row r="17" spans="3:17" hidden="1" x14ac:dyDescent="0.25">
      <c r="D17" t="s">
        <v>363</v>
      </c>
      <c r="I17">
        <v>16</v>
      </c>
      <c r="J17">
        <v>0</v>
      </c>
      <c r="K17" s="1">
        <v>44914.75</v>
      </c>
      <c r="L17" s="1">
        <v>44914.75</v>
      </c>
      <c r="M17">
        <v>331</v>
      </c>
      <c r="N17">
        <v>293</v>
      </c>
      <c r="P17">
        <v>1</v>
      </c>
      <c r="Q17" t="s">
        <v>626</v>
      </c>
    </row>
    <row r="18" spans="3:17" s="2" customFormat="1" hidden="1" x14ac:dyDescent="0.25">
      <c r="C18" s="2" t="s">
        <v>29</v>
      </c>
      <c r="I18" s="2">
        <v>17</v>
      </c>
      <c r="J18" s="2">
        <v>5</v>
      </c>
      <c r="K18" s="3">
        <v>44887.75</v>
      </c>
      <c r="L18" s="3">
        <v>44895.375</v>
      </c>
      <c r="M18" s="2">
        <v>211</v>
      </c>
      <c r="P18" s="2">
        <v>1</v>
      </c>
      <c r="Q18" s="2" t="s">
        <v>626</v>
      </c>
    </row>
    <row r="19" spans="3:17" hidden="1" x14ac:dyDescent="0.25">
      <c r="D19" t="s">
        <v>30</v>
      </c>
      <c r="I19">
        <v>18</v>
      </c>
      <c r="J19">
        <v>0</v>
      </c>
      <c r="K19" s="1">
        <v>44895.375</v>
      </c>
      <c r="L19" s="1">
        <v>44895.375</v>
      </c>
      <c r="P19">
        <v>1</v>
      </c>
      <c r="Q19" t="s">
        <v>626</v>
      </c>
    </row>
    <row r="20" spans="3:17" hidden="1" x14ac:dyDescent="0.25">
      <c r="D20" t="s">
        <v>31</v>
      </c>
      <c r="I20">
        <v>19</v>
      </c>
      <c r="J20">
        <v>0</v>
      </c>
      <c r="K20" s="1">
        <v>44887.75</v>
      </c>
      <c r="L20" s="1">
        <v>44887.75</v>
      </c>
      <c r="P20">
        <v>1</v>
      </c>
      <c r="Q20" t="s">
        <v>626</v>
      </c>
    </row>
    <row r="21" spans="3:17" hidden="1" x14ac:dyDescent="0.25">
      <c r="D21" t="s">
        <v>32</v>
      </c>
      <c r="I21">
        <v>20</v>
      </c>
      <c r="J21">
        <v>0</v>
      </c>
      <c r="K21" s="1">
        <v>44887.75</v>
      </c>
      <c r="L21" s="1">
        <v>44887.75</v>
      </c>
      <c r="P21">
        <v>1</v>
      </c>
      <c r="Q21" t="s">
        <v>626</v>
      </c>
    </row>
    <row r="22" spans="3:17" hidden="1" x14ac:dyDescent="0.25">
      <c r="D22" t="s">
        <v>33</v>
      </c>
      <c r="I22">
        <v>21</v>
      </c>
      <c r="J22">
        <v>0</v>
      </c>
      <c r="K22" s="1">
        <v>44887.75</v>
      </c>
      <c r="L22" s="1">
        <v>44887.75</v>
      </c>
      <c r="P22">
        <v>1</v>
      </c>
      <c r="Q22" t="s">
        <v>626</v>
      </c>
    </row>
    <row r="23" spans="3:17" hidden="1" x14ac:dyDescent="0.25">
      <c r="D23" t="s">
        <v>34</v>
      </c>
      <c r="I23">
        <v>22</v>
      </c>
      <c r="J23">
        <v>0</v>
      </c>
      <c r="K23" s="1">
        <v>44887.75</v>
      </c>
      <c r="L23" s="1">
        <v>44887.75</v>
      </c>
      <c r="P23">
        <v>1</v>
      </c>
      <c r="Q23" t="s">
        <v>626</v>
      </c>
    </row>
    <row r="24" spans="3:17" hidden="1" x14ac:dyDescent="0.25">
      <c r="D24" t="s">
        <v>35</v>
      </c>
      <c r="I24">
        <v>23</v>
      </c>
      <c r="J24">
        <v>0</v>
      </c>
      <c r="K24" s="1">
        <v>44887.75</v>
      </c>
      <c r="L24" s="1">
        <v>44887.75</v>
      </c>
      <c r="P24">
        <v>1</v>
      </c>
      <c r="Q24" t="s">
        <v>626</v>
      </c>
    </row>
    <row r="25" spans="3:17" hidden="1" x14ac:dyDescent="0.25">
      <c r="D25" t="s">
        <v>36</v>
      </c>
      <c r="I25">
        <v>24</v>
      </c>
      <c r="J25">
        <v>0</v>
      </c>
      <c r="K25" s="1">
        <v>44887.75</v>
      </c>
      <c r="L25" s="1">
        <v>44887.75</v>
      </c>
      <c r="P25">
        <v>1</v>
      </c>
      <c r="Q25" t="s">
        <v>626</v>
      </c>
    </row>
    <row r="26" spans="3:17" hidden="1" x14ac:dyDescent="0.25">
      <c r="D26" t="s">
        <v>37</v>
      </c>
      <c r="I26">
        <v>25</v>
      </c>
      <c r="J26">
        <v>0</v>
      </c>
      <c r="K26" s="1">
        <v>44887.75</v>
      </c>
      <c r="L26" s="1">
        <v>44887.75</v>
      </c>
      <c r="P26">
        <v>1</v>
      </c>
      <c r="Q26" t="s">
        <v>626</v>
      </c>
    </row>
    <row r="27" spans="3:17" hidden="1" x14ac:dyDescent="0.25">
      <c r="C27" t="s">
        <v>364</v>
      </c>
      <c r="I27">
        <v>26</v>
      </c>
      <c r="J27">
        <v>10</v>
      </c>
      <c r="K27" s="1">
        <v>44901.375</v>
      </c>
      <c r="L27" s="1">
        <v>44914.75</v>
      </c>
      <c r="M27" t="s">
        <v>365</v>
      </c>
      <c r="P27">
        <v>1</v>
      </c>
      <c r="Q27" t="s">
        <v>627</v>
      </c>
    </row>
    <row r="28" spans="3:17" s="2" customFormat="1" hidden="1" x14ac:dyDescent="0.25">
      <c r="C28" s="2" t="s">
        <v>38</v>
      </c>
      <c r="I28" s="2">
        <v>27</v>
      </c>
      <c r="J28" s="2">
        <v>0</v>
      </c>
      <c r="K28" s="3">
        <v>44893.375</v>
      </c>
      <c r="L28" s="3">
        <v>44893.375</v>
      </c>
      <c r="M28" s="2">
        <v>242</v>
      </c>
      <c r="N28" s="2" t="s">
        <v>366</v>
      </c>
      <c r="P28" s="2">
        <v>1</v>
      </c>
      <c r="Q28" s="2" t="s">
        <v>626</v>
      </c>
    </row>
    <row r="29" spans="3:17" hidden="1" x14ac:dyDescent="0.25">
      <c r="D29" t="s">
        <v>39</v>
      </c>
      <c r="I29">
        <v>28</v>
      </c>
      <c r="J29">
        <v>0</v>
      </c>
      <c r="K29" s="1">
        <v>44893.375</v>
      </c>
      <c r="L29" s="1">
        <v>44893.375</v>
      </c>
      <c r="O29" t="s">
        <v>40</v>
      </c>
      <c r="P29">
        <v>1</v>
      </c>
      <c r="Q29" t="s">
        <v>626</v>
      </c>
    </row>
    <row r="30" spans="3:17" hidden="1" x14ac:dyDescent="0.25">
      <c r="D30" t="s">
        <v>41</v>
      </c>
      <c r="I30">
        <v>29</v>
      </c>
      <c r="J30">
        <v>0</v>
      </c>
      <c r="K30" s="1">
        <v>44893.375</v>
      </c>
      <c r="L30" s="1">
        <v>44893.375</v>
      </c>
      <c r="O30" t="s">
        <v>40</v>
      </c>
      <c r="P30">
        <v>1</v>
      </c>
      <c r="Q30" t="s">
        <v>626</v>
      </c>
    </row>
    <row r="31" spans="3:17" hidden="1" x14ac:dyDescent="0.25">
      <c r="D31" t="s">
        <v>42</v>
      </c>
      <c r="I31">
        <v>30</v>
      </c>
      <c r="J31">
        <v>0</v>
      </c>
      <c r="K31" s="1">
        <v>44893.375</v>
      </c>
      <c r="L31" s="1">
        <v>44893.375</v>
      </c>
      <c r="O31" t="s">
        <v>43</v>
      </c>
      <c r="P31">
        <v>1</v>
      </c>
      <c r="Q31" t="s">
        <v>626</v>
      </c>
    </row>
    <row r="32" spans="3:17" hidden="1" x14ac:dyDescent="0.25">
      <c r="D32" t="s">
        <v>44</v>
      </c>
      <c r="I32">
        <v>31</v>
      </c>
      <c r="J32">
        <v>0</v>
      </c>
      <c r="K32" s="1">
        <v>44893.375</v>
      </c>
      <c r="L32" s="1">
        <v>44893.375</v>
      </c>
      <c r="O32" t="s">
        <v>45</v>
      </c>
      <c r="P32">
        <v>1</v>
      </c>
      <c r="Q32" t="s">
        <v>626</v>
      </c>
    </row>
    <row r="33" spans="3:17" hidden="1" x14ac:dyDescent="0.25">
      <c r="D33" t="s">
        <v>46</v>
      </c>
      <c r="I33">
        <v>32</v>
      </c>
      <c r="J33">
        <v>0</v>
      </c>
      <c r="K33" s="1">
        <v>44893.375</v>
      </c>
      <c r="L33" s="1">
        <v>44893.375</v>
      </c>
      <c r="O33" t="s">
        <v>43</v>
      </c>
      <c r="P33">
        <v>1</v>
      </c>
      <c r="Q33" t="s">
        <v>626</v>
      </c>
    </row>
    <row r="34" spans="3:17" hidden="1" x14ac:dyDescent="0.25">
      <c r="D34" t="s">
        <v>47</v>
      </c>
      <c r="I34">
        <v>33</v>
      </c>
      <c r="J34">
        <v>0</v>
      </c>
      <c r="K34" s="1">
        <v>44893.375</v>
      </c>
      <c r="L34" s="1">
        <v>44893.375</v>
      </c>
      <c r="O34" t="s">
        <v>40</v>
      </c>
      <c r="P34">
        <v>1</v>
      </c>
      <c r="Q34" t="s">
        <v>626</v>
      </c>
    </row>
    <row r="35" spans="3:17" hidden="1" x14ac:dyDescent="0.25">
      <c r="D35" t="s">
        <v>48</v>
      </c>
      <c r="I35">
        <v>34</v>
      </c>
      <c r="J35">
        <v>0</v>
      </c>
      <c r="K35" s="1">
        <v>44893.375</v>
      </c>
      <c r="L35" s="1">
        <v>44893.375</v>
      </c>
      <c r="O35" t="s">
        <v>40</v>
      </c>
      <c r="P35">
        <v>1</v>
      </c>
      <c r="Q35" t="s">
        <v>626</v>
      </c>
    </row>
    <row r="36" spans="3:17" hidden="1" x14ac:dyDescent="0.25">
      <c r="D36" t="s">
        <v>49</v>
      </c>
      <c r="I36">
        <v>35</v>
      </c>
      <c r="J36">
        <v>0</v>
      </c>
      <c r="K36" s="1">
        <v>44893.375</v>
      </c>
      <c r="L36" s="1">
        <v>44893.375</v>
      </c>
      <c r="P36">
        <v>1</v>
      </c>
      <c r="Q36" t="s">
        <v>626</v>
      </c>
    </row>
    <row r="37" spans="3:17" hidden="1" x14ac:dyDescent="0.25">
      <c r="D37" t="s">
        <v>50</v>
      </c>
      <c r="I37">
        <v>36</v>
      </c>
      <c r="J37">
        <v>0</v>
      </c>
      <c r="K37" s="1">
        <v>44893.375</v>
      </c>
      <c r="L37" s="1">
        <v>44893.375</v>
      </c>
      <c r="O37" t="s">
        <v>51</v>
      </c>
      <c r="P37">
        <v>1</v>
      </c>
      <c r="Q37" t="s">
        <v>626</v>
      </c>
    </row>
    <row r="38" spans="3:17" hidden="1" x14ac:dyDescent="0.25">
      <c r="D38" t="s">
        <v>52</v>
      </c>
      <c r="I38">
        <v>37</v>
      </c>
      <c r="J38">
        <v>0</v>
      </c>
      <c r="K38" s="1">
        <v>44893.375</v>
      </c>
      <c r="L38" s="1">
        <v>44893.375</v>
      </c>
      <c r="O38" t="s">
        <v>51</v>
      </c>
      <c r="P38">
        <v>1</v>
      </c>
      <c r="Q38" t="s">
        <v>626</v>
      </c>
    </row>
    <row r="39" spans="3:17" hidden="1" x14ac:dyDescent="0.25">
      <c r="D39" t="s">
        <v>53</v>
      </c>
      <c r="I39">
        <v>38</v>
      </c>
      <c r="J39">
        <v>0</v>
      </c>
      <c r="K39" s="1">
        <v>44893.375</v>
      </c>
      <c r="L39" s="1">
        <v>44893.375</v>
      </c>
      <c r="O39" t="s">
        <v>54</v>
      </c>
      <c r="P39">
        <v>1</v>
      </c>
      <c r="Q39" t="s">
        <v>626</v>
      </c>
    </row>
    <row r="40" spans="3:17" hidden="1" x14ac:dyDescent="0.25">
      <c r="D40" t="s">
        <v>55</v>
      </c>
      <c r="I40">
        <v>39</v>
      </c>
      <c r="J40">
        <v>0</v>
      </c>
      <c r="K40" s="1">
        <v>44893.375</v>
      </c>
      <c r="L40" s="1">
        <v>44893.375</v>
      </c>
      <c r="O40" t="s">
        <v>54</v>
      </c>
      <c r="P40">
        <v>1</v>
      </c>
      <c r="Q40" t="s">
        <v>626</v>
      </c>
    </row>
    <row r="41" spans="3:17" s="2" customFormat="1" hidden="1" x14ac:dyDescent="0.25">
      <c r="C41" s="2" t="s">
        <v>367</v>
      </c>
      <c r="I41" s="2">
        <v>40</v>
      </c>
      <c r="J41" s="2">
        <v>25</v>
      </c>
      <c r="K41" s="3">
        <v>44914.375</v>
      </c>
      <c r="L41" s="3">
        <v>44946.75</v>
      </c>
      <c r="P41" s="2">
        <v>1</v>
      </c>
      <c r="Q41" s="2" t="s">
        <v>626</v>
      </c>
    </row>
    <row r="42" spans="3:17" hidden="1" x14ac:dyDescent="0.25">
      <c r="D42" t="s">
        <v>16</v>
      </c>
      <c r="I42">
        <v>41</v>
      </c>
      <c r="J42">
        <v>0</v>
      </c>
      <c r="K42" s="1">
        <v>44914.375</v>
      </c>
      <c r="L42" s="1">
        <v>44914.375</v>
      </c>
      <c r="N42" t="s">
        <v>368</v>
      </c>
      <c r="P42">
        <v>1</v>
      </c>
      <c r="Q42" t="s">
        <v>626</v>
      </c>
    </row>
    <row r="43" spans="3:17" hidden="1" x14ac:dyDescent="0.25">
      <c r="D43" t="s">
        <v>369</v>
      </c>
      <c r="I43">
        <v>42</v>
      </c>
      <c r="J43">
        <v>20</v>
      </c>
      <c r="K43" s="1">
        <v>44995.583333333336</v>
      </c>
      <c r="L43" s="1">
        <v>45023.541666666664</v>
      </c>
      <c r="M43" t="s">
        <v>370</v>
      </c>
      <c r="P43">
        <v>0</v>
      </c>
      <c r="Q43" t="s">
        <v>628</v>
      </c>
    </row>
    <row r="44" spans="3:17" hidden="1" x14ac:dyDescent="0.25">
      <c r="D44" t="s">
        <v>371</v>
      </c>
      <c r="I44">
        <v>43</v>
      </c>
      <c r="J44">
        <v>20</v>
      </c>
      <c r="K44" s="1">
        <v>44936.375</v>
      </c>
      <c r="L44" s="1">
        <v>44963.75</v>
      </c>
      <c r="M44" t="s">
        <v>372</v>
      </c>
      <c r="P44">
        <v>0</v>
      </c>
      <c r="Q44" t="s">
        <v>628</v>
      </c>
    </row>
    <row r="45" spans="3:17" hidden="1" x14ac:dyDescent="0.25">
      <c r="D45" t="s">
        <v>373</v>
      </c>
      <c r="I45">
        <v>44</v>
      </c>
      <c r="J45">
        <v>10</v>
      </c>
      <c r="K45" s="1">
        <v>44901.375</v>
      </c>
      <c r="L45" s="1">
        <v>44925.508333333331</v>
      </c>
      <c r="M45" t="s">
        <v>374</v>
      </c>
      <c r="P45">
        <v>1</v>
      </c>
      <c r="Q45" t="s">
        <v>628</v>
      </c>
    </row>
    <row r="46" spans="3:17" hidden="1" x14ac:dyDescent="0.25">
      <c r="D46" t="s">
        <v>375</v>
      </c>
      <c r="I46">
        <v>45</v>
      </c>
      <c r="J46">
        <v>10</v>
      </c>
      <c r="K46" s="1">
        <v>44901.375</v>
      </c>
      <c r="L46" s="1">
        <v>44916.75</v>
      </c>
      <c r="M46" t="s">
        <v>376</v>
      </c>
      <c r="P46">
        <v>1</v>
      </c>
      <c r="Q46" t="s">
        <v>628</v>
      </c>
    </row>
    <row r="47" spans="3:17" hidden="1" x14ac:dyDescent="0.25">
      <c r="D47" t="s">
        <v>364</v>
      </c>
      <c r="I47">
        <v>46</v>
      </c>
      <c r="J47">
        <v>10</v>
      </c>
      <c r="K47" s="1">
        <v>44901.375</v>
      </c>
      <c r="L47" s="1">
        <v>44914.75</v>
      </c>
      <c r="M47" t="s">
        <v>377</v>
      </c>
      <c r="P47">
        <v>1</v>
      </c>
      <c r="Q47" t="s">
        <v>628</v>
      </c>
    </row>
    <row r="48" spans="3:17" hidden="1" x14ac:dyDescent="0.25">
      <c r="D48" t="s">
        <v>378</v>
      </c>
      <c r="I48">
        <v>47</v>
      </c>
      <c r="J48">
        <v>0</v>
      </c>
      <c r="K48" s="1">
        <v>45072.541666666664</v>
      </c>
      <c r="L48" s="1">
        <v>45072.541666666664</v>
      </c>
      <c r="M48" t="s">
        <v>379</v>
      </c>
      <c r="P48">
        <v>0</v>
      </c>
      <c r="Q48" t="s">
        <v>628</v>
      </c>
    </row>
    <row r="49" spans="3:17" hidden="1" x14ac:dyDescent="0.25">
      <c r="D49" t="s">
        <v>380</v>
      </c>
      <c r="I49">
        <v>48</v>
      </c>
      <c r="J49">
        <v>0</v>
      </c>
      <c r="K49" s="1">
        <v>45072.541666666664</v>
      </c>
      <c r="L49" s="1">
        <v>45072.541666666664</v>
      </c>
      <c r="M49" t="s">
        <v>381</v>
      </c>
      <c r="P49">
        <v>0</v>
      </c>
      <c r="Q49" t="s">
        <v>628</v>
      </c>
    </row>
    <row r="50" spans="3:17" hidden="1" x14ac:dyDescent="0.25">
      <c r="D50" t="s">
        <v>382</v>
      </c>
      <c r="I50">
        <v>49</v>
      </c>
      <c r="J50">
        <v>0</v>
      </c>
      <c r="K50" s="1">
        <v>45072.541666666664</v>
      </c>
      <c r="L50" s="1">
        <v>45072.541666666664</v>
      </c>
      <c r="M50" t="s">
        <v>383</v>
      </c>
      <c r="P50">
        <v>0</v>
      </c>
      <c r="Q50" t="s">
        <v>628</v>
      </c>
    </row>
    <row r="51" spans="3:17" hidden="1" x14ac:dyDescent="0.25">
      <c r="D51" t="s">
        <v>384</v>
      </c>
      <c r="I51">
        <v>50</v>
      </c>
      <c r="J51">
        <v>0</v>
      </c>
      <c r="K51" s="1">
        <v>45058.541666666664</v>
      </c>
      <c r="L51" s="1">
        <v>45058.541666666664</v>
      </c>
      <c r="M51" t="s">
        <v>385</v>
      </c>
      <c r="P51">
        <v>0</v>
      </c>
      <c r="Q51" t="s">
        <v>628</v>
      </c>
    </row>
    <row r="52" spans="3:17" hidden="1" x14ac:dyDescent="0.25">
      <c r="D52" t="s">
        <v>386</v>
      </c>
      <c r="I52">
        <v>51</v>
      </c>
      <c r="J52">
        <v>0</v>
      </c>
      <c r="K52" s="1">
        <v>45044.541666666664</v>
      </c>
      <c r="L52" s="1">
        <v>45044.541666666664</v>
      </c>
      <c r="M52" t="s">
        <v>387</v>
      </c>
      <c r="P52">
        <v>0</v>
      </c>
      <c r="Q52" t="s">
        <v>628</v>
      </c>
    </row>
    <row r="53" spans="3:17" hidden="1" x14ac:dyDescent="0.25">
      <c r="D53" t="s">
        <v>388</v>
      </c>
      <c r="I53">
        <v>52</v>
      </c>
      <c r="J53">
        <v>0</v>
      </c>
      <c r="K53" s="1">
        <v>45044.541666666664</v>
      </c>
      <c r="L53" s="1">
        <v>45044.541666666664</v>
      </c>
      <c r="M53" t="s">
        <v>389</v>
      </c>
      <c r="P53">
        <v>0</v>
      </c>
      <c r="Q53" t="s">
        <v>628</v>
      </c>
    </row>
    <row r="54" spans="3:17" hidden="1" x14ac:dyDescent="0.25">
      <c r="D54" t="s">
        <v>390</v>
      </c>
      <c r="I54">
        <v>53</v>
      </c>
      <c r="J54">
        <v>10</v>
      </c>
      <c r="K54" s="1">
        <v>44901.375</v>
      </c>
      <c r="L54" s="1">
        <v>44914.75</v>
      </c>
      <c r="M54" t="s">
        <v>391</v>
      </c>
      <c r="P54">
        <v>1</v>
      </c>
      <c r="Q54" t="s">
        <v>628</v>
      </c>
    </row>
    <row r="55" spans="3:17" hidden="1" x14ac:dyDescent="0.25">
      <c r="D55" t="s">
        <v>392</v>
      </c>
      <c r="I55">
        <v>54</v>
      </c>
      <c r="J55">
        <v>0</v>
      </c>
      <c r="K55" s="1">
        <v>44935.75</v>
      </c>
      <c r="L55" s="1">
        <v>44935.75</v>
      </c>
      <c r="M55">
        <v>41</v>
      </c>
      <c r="P55">
        <v>0</v>
      </c>
      <c r="Q55" t="s">
        <v>628</v>
      </c>
    </row>
    <row r="56" spans="3:17" hidden="1" x14ac:dyDescent="0.25">
      <c r="D56" t="s">
        <v>390</v>
      </c>
      <c r="I56">
        <v>55</v>
      </c>
      <c r="J56">
        <v>10</v>
      </c>
      <c r="K56" s="1">
        <v>44901.375</v>
      </c>
      <c r="L56" s="1">
        <v>44914.75</v>
      </c>
      <c r="M56" t="s">
        <v>391</v>
      </c>
      <c r="P56">
        <v>1</v>
      </c>
      <c r="Q56" t="s">
        <v>627</v>
      </c>
    </row>
    <row r="57" spans="3:17" hidden="1" x14ac:dyDescent="0.25">
      <c r="D57" t="s">
        <v>393</v>
      </c>
      <c r="I57">
        <v>56</v>
      </c>
      <c r="J57">
        <v>0</v>
      </c>
      <c r="K57" s="1">
        <v>44963.75</v>
      </c>
      <c r="L57" s="1">
        <v>44963.75</v>
      </c>
      <c r="M57" t="s">
        <v>394</v>
      </c>
      <c r="P57">
        <v>0</v>
      </c>
      <c r="Q57" t="s">
        <v>627</v>
      </c>
    </row>
    <row r="58" spans="3:17" hidden="1" x14ac:dyDescent="0.25">
      <c r="D58" t="s">
        <v>392</v>
      </c>
      <c r="I58">
        <v>57</v>
      </c>
      <c r="J58">
        <v>0</v>
      </c>
      <c r="K58" s="1">
        <v>44935.75</v>
      </c>
      <c r="L58" s="1">
        <v>44935.75</v>
      </c>
      <c r="M58">
        <v>41</v>
      </c>
      <c r="P58">
        <v>0</v>
      </c>
      <c r="Q58" t="s">
        <v>627</v>
      </c>
    </row>
    <row r="59" spans="3:17" hidden="1" x14ac:dyDescent="0.25">
      <c r="D59" t="s">
        <v>18</v>
      </c>
      <c r="I59">
        <v>58</v>
      </c>
      <c r="J59">
        <v>0</v>
      </c>
      <c r="K59" s="1">
        <v>44914.375</v>
      </c>
      <c r="L59" s="1">
        <v>44914.375</v>
      </c>
      <c r="M59">
        <v>60</v>
      </c>
      <c r="N59" t="s">
        <v>395</v>
      </c>
      <c r="P59">
        <v>1</v>
      </c>
      <c r="Q59" t="s">
        <v>626</v>
      </c>
    </row>
    <row r="60" spans="3:17" hidden="1" x14ac:dyDescent="0.25">
      <c r="D60" t="s">
        <v>396</v>
      </c>
      <c r="I60">
        <v>59</v>
      </c>
      <c r="J60">
        <v>0</v>
      </c>
      <c r="K60" s="1">
        <v>45023.541666666664</v>
      </c>
      <c r="L60" s="1">
        <v>45023.541666666664</v>
      </c>
      <c r="M60">
        <v>58</v>
      </c>
      <c r="P60">
        <v>0</v>
      </c>
      <c r="Q60" t="s">
        <v>628</v>
      </c>
    </row>
    <row r="61" spans="3:17" hidden="1" x14ac:dyDescent="0.25">
      <c r="D61" t="s">
        <v>397</v>
      </c>
      <c r="I61">
        <v>60</v>
      </c>
      <c r="J61">
        <v>15</v>
      </c>
      <c r="K61" s="1">
        <v>44928.375</v>
      </c>
      <c r="L61" s="1">
        <v>44946.75</v>
      </c>
      <c r="M61" t="s">
        <v>398</v>
      </c>
      <c r="N61" t="s">
        <v>399</v>
      </c>
      <c r="O61" t="s">
        <v>40</v>
      </c>
      <c r="P61">
        <v>1</v>
      </c>
      <c r="Q61" t="s">
        <v>626</v>
      </c>
    </row>
    <row r="62" spans="3:17" hidden="1" x14ac:dyDescent="0.25">
      <c r="D62" t="s">
        <v>393</v>
      </c>
      <c r="I62">
        <v>61</v>
      </c>
      <c r="J62">
        <v>0</v>
      </c>
      <c r="K62" s="1">
        <v>44963.75</v>
      </c>
      <c r="L62" s="1">
        <v>44963.75</v>
      </c>
      <c r="M62" t="s">
        <v>394</v>
      </c>
      <c r="P62">
        <v>0</v>
      </c>
      <c r="Q62" t="s">
        <v>628</v>
      </c>
    </row>
    <row r="63" spans="3:17" s="2" customFormat="1" hidden="1" x14ac:dyDescent="0.25">
      <c r="C63" s="2" t="s">
        <v>56</v>
      </c>
      <c r="I63" s="2">
        <v>62</v>
      </c>
      <c r="J63" s="2">
        <v>29</v>
      </c>
      <c r="K63" s="3">
        <v>44914.75</v>
      </c>
      <c r="L63" s="3">
        <v>44953.75</v>
      </c>
      <c r="M63" s="2">
        <v>265</v>
      </c>
      <c r="P63" s="2">
        <v>1</v>
      </c>
      <c r="Q63" s="2" t="s">
        <v>626</v>
      </c>
    </row>
    <row r="64" spans="3:17" hidden="1" x14ac:dyDescent="0.25">
      <c r="D64" t="s">
        <v>57</v>
      </c>
      <c r="I64">
        <v>63</v>
      </c>
      <c r="J64">
        <v>0</v>
      </c>
      <c r="K64" s="1">
        <v>44914.75</v>
      </c>
      <c r="L64" s="1">
        <v>44914.75</v>
      </c>
      <c r="O64" t="s">
        <v>51</v>
      </c>
      <c r="P64">
        <v>1</v>
      </c>
      <c r="Q64" t="s">
        <v>626</v>
      </c>
    </row>
    <row r="65" spans="3:17" hidden="1" x14ac:dyDescent="0.25">
      <c r="D65" t="s">
        <v>58</v>
      </c>
      <c r="I65">
        <v>64</v>
      </c>
      <c r="J65">
        <v>0</v>
      </c>
      <c r="K65" s="1">
        <v>44914.75</v>
      </c>
      <c r="L65" s="1">
        <v>44914.75</v>
      </c>
      <c r="N65" t="s">
        <v>400</v>
      </c>
      <c r="O65" t="s">
        <v>59</v>
      </c>
      <c r="P65">
        <v>1</v>
      </c>
      <c r="Q65" t="s">
        <v>626</v>
      </c>
    </row>
    <row r="66" spans="3:17" hidden="1" x14ac:dyDescent="0.25">
      <c r="D66" t="s">
        <v>375</v>
      </c>
      <c r="I66">
        <v>65</v>
      </c>
      <c r="J66">
        <v>10</v>
      </c>
      <c r="K66" s="1">
        <v>44901.375</v>
      </c>
      <c r="L66" s="1">
        <v>44916.75</v>
      </c>
      <c r="M66" t="s">
        <v>401</v>
      </c>
      <c r="P66">
        <v>1</v>
      </c>
      <c r="Q66" t="s">
        <v>627</v>
      </c>
    </row>
    <row r="67" spans="3:17" hidden="1" x14ac:dyDescent="0.25">
      <c r="D67" t="s">
        <v>60</v>
      </c>
      <c r="I67">
        <v>66</v>
      </c>
      <c r="J67">
        <v>0</v>
      </c>
      <c r="K67" s="1">
        <v>44914.75</v>
      </c>
      <c r="L67" s="1">
        <v>44914.75</v>
      </c>
      <c r="O67" t="s">
        <v>51</v>
      </c>
      <c r="P67">
        <v>1</v>
      </c>
      <c r="Q67" t="s">
        <v>626</v>
      </c>
    </row>
    <row r="68" spans="3:17" hidden="1" x14ac:dyDescent="0.25">
      <c r="D68" t="s">
        <v>61</v>
      </c>
      <c r="I68">
        <v>67</v>
      </c>
      <c r="J68">
        <v>0</v>
      </c>
      <c r="K68" s="1">
        <v>44914.75</v>
      </c>
      <c r="L68" s="1">
        <v>44914.75</v>
      </c>
      <c r="N68" t="s">
        <v>402</v>
      </c>
      <c r="O68" t="s">
        <v>51</v>
      </c>
      <c r="P68">
        <v>1</v>
      </c>
      <c r="Q68" t="s">
        <v>626</v>
      </c>
    </row>
    <row r="69" spans="3:17" hidden="1" x14ac:dyDescent="0.25">
      <c r="D69" t="s">
        <v>373</v>
      </c>
      <c r="I69">
        <v>68</v>
      </c>
      <c r="J69">
        <v>10</v>
      </c>
      <c r="K69" s="1">
        <v>44901.375</v>
      </c>
      <c r="L69" s="1">
        <v>44925.508333333331</v>
      </c>
      <c r="M69" t="s">
        <v>403</v>
      </c>
      <c r="P69">
        <v>1</v>
      </c>
      <c r="Q69" t="s">
        <v>627</v>
      </c>
    </row>
    <row r="70" spans="3:17" hidden="1" x14ac:dyDescent="0.25">
      <c r="D70" t="s">
        <v>62</v>
      </c>
      <c r="I70">
        <v>69</v>
      </c>
      <c r="J70">
        <v>0</v>
      </c>
      <c r="K70" s="1">
        <v>44914.75</v>
      </c>
      <c r="L70" s="1">
        <v>44914.75</v>
      </c>
      <c r="O70" t="s">
        <v>51</v>
      </c>
      <c r="P70">
        <v>1</v>
      </c>
      <c r="Q70" t="s">
        <v>626</v>
      </c>
    </row>
    <row r="71" spans="3:17" hidden="1" x14ac:dyDescent="0.25">
      <c r="D71" t="s">
        <v>63</v>
      </c>
      <c r="I71">
        <v>70</v>
      </c>
      <c r="J71">
        <v>0</v>
      </c>
      <c r="K71" s="1">
        <v>44914.75</v>
      </c>
      <c r="L71" s="1">
        <v>44914.75</v>
      </c>
      <c r="O71" t="s">
        <v>51</v>
      </c>
      <c r="P71">
        <v>1</v>
      </c>
      <c r="Q71" t="s">
        <v>626</v>
      </c>
    </row>
    <row r="72" spans="3:17" hidden="1" x14ac:dyDescent="0.25">
      <c r="D72" t="s">
        <v>64</v>
      </c>
      <c r="I72">
        <v>71</v>
      </c>
      <c r="J72">
        <v>0</v>
      </c>
      <c r="K72" s="1">
        <v>44914.75</v>
      </c>
      <c r="L72" s="1">
        <v>44914.75</v>
      </c>
      <c r="O72" t="s">
        <v>51</v>
      </c>
      <c r="P72">
        <v>1</v>
      </c>
      <c r="Q72" t="s">
        <v>626</v>
      </c>
    </row>
    <row r="73" spans="3:17" hidden="1" x14ac:dyDescent="0.25">
      <c r="D73" t="s">
        <v>65</v>
      </c>
      <c r="I73">
        <v>72</v>
      </c>
      <c r="J73">
        <v>0</v>
      </c>
      <c r="K73" s="1">
        <v>44914.75</v>
      </c>
      <c r="L73" s="1">
        <v>44914.75</v>
      </c>
      <c r="P73">
        <v>1</v>
      </c>
      <c r="Q73" t="s">
        <v>626</v>
      </c>
    </row>
    <row r="74" spans="3:17" hidden="1" x14ac:dyDescent="0.25">
      <c r="D74" t="s">
        <v>66</v>
      </c>
      <c r="I74">
        <v>73</v>
      </c>
      <c r="J74">
        <v>0</v>
      </c>
      <c r="K74" s="1">
        <v>44914.75</v>
      </c>
      <c r="L74" s="1">
        <v>44914.75</v>
      </c>
      <c r="O74" t="s">
        <v>51</v>
      </c>
      <c r="P74">
        <v>1</v>
      </c>
      <c r="Q74" t="s">
        <v>626</v>
      </c>
    </row>
    <row r="75" spans="3:17" hidden="1" x14ac:dyDescent="0.25">
      <c r="D75" t="s">
        <v>67</v>
      </c>
      <c r="I75">
        <v>74</v>
      </c>
      <c r="J75">
        <v>0</v>
      </c>
      <c r="K75" s="1">
        <v>44914.75</v>
      </c>
      <c r="L75" s="1">
        <v>44914.75</v>
      </c>
      <c r="O75" t="s">
        <v>51</v>
      </c>
      <c r="P75">
        <v>1</v>
      </c>
      <c r="Q75" t="s">
        <v>626</v>
      </c>
    </row>
    <row r="76" spans="3:17" hidden="1" x14ac:dyDescent="0.25">
      <c r="D76" t="s">
        <v>68</v>
      </c>
      <c r="I76">
        <v>75</v>
      </c>
      <c r="J76">
        <v>0</v>
      </c>
      <c r="K76" s="1">
        <v>44953.75</v>
      </c>
      <c r="L76" s="1">
        <v>44953.75</v>
      </c>
      <c r="O76" t="s">
        <v>51</v>
      </c>
      <c r="P76">
        <v>1</v>
      </c>
      <c r="Q76" t="s">
        <v>626</v>
      </c>
    </row>
    <row r="77" spans="3:17" hidden="1" x14ac:dyDescent="0.25">
      <c r="D77" t="s">
        <v>69</v>
      </c>
      <c r="I77">
        <v>76</v>
      </c>
      <c r="J77">
        <v>0</v>
      </c>
      <c r="K77" s="1">
        <v>44953.75</v>
      </c>
      <c r="L77" s="1">
        <v>44953.75</v>
      </c>
      <c r="P77">
        <v>1</v>
      </c>
      <c r="Q77" t="s">
        <v>626</v>
      </c>
    </row>
    <row r="78" spans="3:17" s="2" customFormat="1" hidden="1" x14ac:dyDescent="0.25">
      <c r="C78" s="2" t="s">
        <v>404</v>
      </c>
      <c r="I78" s="2">
        <v>77</v>
      </c>
      <c r="J78" s="2">
        <v>0</v>
      </c>
      <c r="K78" s="3">
        <v>44958.5</v>
      </c>
      <c r="L78" s="3">
        <v>44958.5</v>
      </c>
      <c r="O78" s="2" t="s">
        <v>99</v>
      </c>
      <c r="P78" s="2">
        <v>1</v>
      </c>
      <c r="Q78" s="2" t="s">
        <v>626</v>
      </c>
    </row>
    <row r="79" spans="3:17" hidden="1" x14ac:dyDescent="0.25">
      <c r="D79" t="s">
        <v>75</v>
      </c>
      <c r="I79">
        <v>78</v>
      </c>
      <c r="J79">
        <v>0</v>
      </c>
      <c r="K79" s="1">
        <v>44958.5</v>
      </c>
      <c r="L79" s="1">
        <v>44958.5</v>
      </c>
      <c r="M79">
        <v>312</v>
      </c>
      <c r="O79" t="s">
        <v>99</v>
      </c>
      <c r="P79">
        <v>1</v>
      </c>
      <c r="Q79" t="s">
        <v>626</v>
      </c>
    </row>
    <row r="80" spans="3:17" hidden="1" x14ac:dyDescent="0.25">
      <c r="D80" t="s">
        <v>76</v>
      </c>
      <c r="I80">
        <v>79</v>
      </c>
      <c r="J80">
        <v>0</v>
      </c>
      <c r="K80" s="1">
        <v>44958.5</v>
      </c>
      <c r="L80" s="1">
        <v>44958.5</v>
      </c>
      <c r="M80">
        <v>312</v>
      </c>
      <c r="O80" t="s">
        <v>99</v>
      </c>
      <c r="P80">
        <v>1</v>
      </c>
      <c r="Q80" t="s">
        <v>626</v>
      </c>
    </row>
    <row r="81" spans="3:17" hidden="1" x14ac:dyDescent="0.25">
      <c r="D81" t="s">
        <v>77</v>
      </c>
      <c r="I81">
        <v>80</v>
      </c>
      <c r="J81">
        <v>0</v>
      </c>
      <c r="K81" s="1">
        <v>44958.5</v>
      </c>
      <c r="L81" s="1">
        <v>44958.5</v>
      </c>
      <c r="M81">
        <v>312</v>
      </c>
      <c r="O81" t="s">
        <v>99</v>
      </c>
      <c r="P81">
        <v>1</v>
      </c>
      <c r="Q81" t="s">
        <v>626</v>
      </c>
    </row>
    <row r="82" spans="3:17" hidden="1" x14ac:dyDescent="0.25">
      <c r="D82" t="s">
        <v>78</v>
      </c>
      <c r="I82">
        <v>81</v>
      </c>
      <c r="J82">
        <v>0</v>
      </c>
      <c r="K82" s="1">
        <v>44958.5</v>
      </c>
      <c r="L82" s="1">
        <v>44958.5</v>
      </c>
      <c r="M82">
        <v>312</v>
      </c>
      <c r="O82" t="s">
        <v>99</v>
      </c>
      <c r="P82">
        <v>1</v>
      </c>
      <c r="Q82" t="s">
        <v>626</v>
      </c>
    </row>
    <row r="83" spans="3:17" hidden="1" x14ac:dyDescent="0.25">
      <c r="D83" t="s">
        <v>79</v>
      </c>
      <c r="I83">
        <v>82</v>
      </c>
      <c r="J83">
        <v>0</v>
      </c>
      <c r="K83" s="1">
        <v>44958.5</v>
      </c>
      <c r="L83" s="1">
        <v>44958.5</v>
      </c>
      <c r="M83">
        <v>312</v>
      </c>
      <c r="O83" t="s">
        <v>99</v>
      </c>
      <c r="P83">
        <v>1</v>
      </c>
      <c r="Q83" t="s">
        <v>626</v>
      </c>
    </row>
    <row r="84" spans="3:17" s="2" customFormat="1" x14ac:dyDescent="0.25">
      <c r="C84" s="2" t="s">
        <v>405</v>
      </c>
      <c r="I84" s="2">
        <v>83</v>
      </c>
      <c r="J84" s="2">
        <v>68.5</v>
      </c>
      <c r="K84" s="3">
        <v>44957.375</v>
      </c>
      <c r="L84" s="3">
        <v>45051.541666666664</v>
      </c>
      <c r="P84" s="2">
        <v>0.12</v>
      </c>
      <c r="Q84" s="2" t="s">
        <v>626</v>
      </c>
    </row>
    <row r="85" spans="3:17" hidden="1" x14ac:dyDescent="0.25">
      <c r="D85" t="s">
        <v>396</v>
      </c>
      <c r="I85">
        <v>84</v>
      </c>
      <c r="J85">
        <v>0</v>
      </c>
      <c r="K85" s="1">
        <v>44963.75</v>
      </c>
      <c r="L85" s="1">
        <v>44963.75</v>
      </c>
      <c r="M85">
        <v>58</v>
      </c>
      <c r="P85">
        <v>0</v>
      </c>
      <c r="Q85" t="s">
        <v>627</v>
      </c>
    </row>
    <row r="86" spans="3:17" hidden="1" x14ac:dyDescent="0.25">
      <c r="D86" t="s">
        <v>371</v>
      </c>
      <c r="I86">
        <v>85</v>
      </c>
      <c r="J86">
        <v>20</v>
      </c>
      <c r="K86" s="1">
        <v>44936.375</v>
      </c>
      <c r="L86" s="1">
        <v>44963.75</v>
      </c>
      <c r="M86" t="s">
        <v>406</v>
      </c>
      <c r="P86">
        <v>0</v>
      </c>
      <c r="Q86" t="s">
        <v>627</v>
      </c>
    </row>
    <row r="87" spans="3:17" x14ac:dyDescent="0.25">
      <c r="D87" t="s">
        <v>19</v>
      </c>
      <c r="I87">
        <v>86</v>
      </c>
      <c r="J87">
        <v>15</v>
      </c>
      <c r="K87" s="1">
        <v>44957.375</v>
      </c>
      <c r="L87" s="1">
        <v>45009.541666666664</v>
      </c>
      <c r="M87">
        <v>224</v>
      </c>
      <c r="N87" t="s">
        <v>407</v>
      </c>
      <c r="O87" t="s">
        <v>59</v>
      </c>
      <c r="P87">
        <v>0.5</v>
      </c>
      <c r="Q87" t="s">
        <v>626</v>
      </c>
    </row>
    <row r="88" spans="3:17" hidden="1" x14ac:dyDescent="0.25">
      <c r="D88" t="s">
        <v>408</v>
      </c>
      <c r="I88">
        <v>87</v>
      </c>
      <c r="J88">
        <v>15</v>
      </c>
      <c r="K88" s="1">
        <v>45023.583333333336</v>
      </c>
      <c r="L88" s="1">
        <v>45044.541666666664</v>
      </c>
      <c r="M88" t="s">
        <v>409</v>
      </c>
      <c r="P88">
        <v>0</v>
      </c>
      <c r="Q88" t="s">
        <v>628</v>
      </c>
    </row>
    <row r="89" spans="3:17" x14ac:dyDescent="0.25">
      <c r="D89" t="s">
        <v>410</v>
      </c>
      <c r="I89">
        <v>88</v>
      </c>
      <c r="J89">
        <v>15</v>
      </c>
      <c r="K89" s="1">
        <v>44957.375</v>
      </c>
      <c r="L89" s="1">
        <v>45009.541666666664</v>
      </c>
      <c r="M89">
        <v>218</v>
      </c>
      <c r="N89" t="s">
        <v>411</v>
      </c>
      <c r="O89" t="s">
        <v>43</v>
      </c>
      <c r="P89">
        <v>0.5</v>
      </c>
      <c r="Q89" t="s">
        <v>626</v>
      </c>
    </row>
    <row r="90" spans="3:17" hidden="1" x14ac:dyDescent="0.25">
      <c r="D90" t="s">
        <v>408</v>
      </c>
      <c r="I90">
        <v>89</v>
      </c>
      <c r="J90">
        <v>15</v>
      </c>
      <c r="K90" s="1">
        <v>44988.583333333336</v>
      </c>
      <c r="L90" s="1">
        <v>45009.541666666664</v>
      </c>
      <c r="M90" t="s">
        <v>409</v>
      </c>
      <c r="P90">
        <v>0</v>
      </c>
      <c r="Q90" t="s">
        <v>627</v>
      </c>
    </row>
    <row r="91" spans="3:17" hidden="1" x14ac:dyDescent="0.25">
      <c r="D91" t="s">
        <v>388</v>
      </c>
      <c r="I91">
        <v>90</v>
      </c>
      <c r="J91">
        <v>0</v>
      </c>
      <c r="K91" s="1">
        <v>45009.541666666664</v>
      </c>
      <c r="L91" s="1">
        <v>45009.541666666664</v>
      </c>
      <c r="M91" t="s">
        <v>412</v>
      </c>
      <c r="P91">
        <v>0</v>
      </c>
      <c r="Q91" t="s">
        <v>627</v>
      </c>
    </row>
    <row r="92" spans="3:17" x14ac:dyDescent="0.25">
      <c r="D92" t="s">
        <v>413</v>
      </c>
      <c r="I92">
        <v>91</v>
      </c>
      <c r="J92">
        <v>10</v>
      </c>
      <c r="K92" s="1">
        <v>44999.375</v>
      </c>
      <c r="L92" s="1">
        <v>45012.75</v>
      </c>
      <c r="O92" t="s">
        <v>414</v>
      </c>
      <c r="P92">
        <v>0</v>
      </c>
      <c r="Q92" t="s">
        <v>626</v>
      </c>
    </row>
    <row r="93" spans="3:17" x14ac:dyDescent="0.25">
      <c r="D93" t="s">
        <v>20</v>
      </c>
      <c r="I93">
        <v>92</v>
      </c>
      <c r="J93">
        <v>10</v>
      </c>
      <c r="K93" s="1">
        <v>44978.375</v>
      </c>
      <c r="L93" s="1">
        <v>44991.75</v>
      </c>
      <c r="N93" t="s">
        <v>415</v>
      </c>
      <c r="O93" t="s">
        <v>416</v>
      </c>
      <c r="P93">
        <v>0</v>
      </c>
      <c r="Q93" t="s">
        <v>626</v>
      </c>
    </row>
    <row r="94" spans="3:17" hidden="1" x14ac:dyDescent="0.25">
      <c r="D94" t="s">
        <v>417</v>
      </c>
      <c r="I94">
        <v>93</v>
      </c>
      <c r="J94">
        <v>15</v>
      </c>
      <c r="K94" s="1">
        <v>45023.583333333336</v>
      </c>
      <c r="L94" s="1">
        <v>45044.541666666664</v>
      </c>
      <c r="M94" t="s">
        <v>418</v>
      </c>
      <c r="P94">
        <v>0</v>
      </c>
      <c r="Q94" t="s">
        <v>628</v>
      </c>
    </row>
    <row r="95" spans="3:17" hidden="1" x14ac:dyDescent="0.25">
      <c r="D95" t="s">
        <v>417</v>
      </c>
      <c r="I95">
        <v>94</v>
      </c>
      <c r="J95">
        <v>15</v>
      </c>
      <c r="K95" s="1">
        <v>44971.375</v>
      </c>
      <c r="L95" s="1">
        <v>44991.75</v>
      </c>
      <c r="M95" t="s">
        <v>418</v>
      </c>
      <c r="P95">
        <v>0</v>
      </c>
      <c r="Q95" t="s">
        <v>627</v>
      </c>
    </row>
    <row r="96" spans="3:17" hidden="1" x14ac:dyDescent="0.25">
      <c r="D96" t="s">
        <v>386</v>
      </c>
      <c r="I96">
        <v>95</v>
      </c>
      <c r="J96">
        <v>0</v>
      </c>
      <c r="K96" s="1">
        <v>44991.75</v>
      </c>
      <c r="L96" s="1">
        <v>44991.75</v>
      </c>
      <c r="M96" t="s">
        <v>419</v>
      </c>
      <c r="P96">
        <v>0</v>
      </c>
      <c r="Q96" t="s">
        <v>627</v>
      </c>
    </row>
    <row r="97" spans="4:17" x14ac:dyDescent="0.25">
      <c r="D97" t="s">
        <v>21</v>
      </c>
      <c r="I97">
        <v>96</v>
      </c>
      <c r="J97">
        <v>10</v>
      </c>
      <c r="K97" s="1">
        <v>45009.583333333336</v>
      </c>
      <c r="L97" s="1">
        <v>45023.541666666664</v>
      </c>
      <c r="M97">
        <v>88</v>
      </c>
      <c r="N97" t="s">
        <v>420</v>
      </c>
      <c r="O97" t="s">
        <v>43</v>
      </c>
      <c r="P97">
        <v>0</v>
      </c>
      <c r="Q97" t="s">
        <v>626</v>
      </c>
    </row>
    <row r="98" spans="4:17" hidden="1" x14ac:dyDescent="0.25">
      <c r="D98" t="s">
        <v>369</v>
      </c>
      <c r="I98">
        <v>97</v>
      </c>
      <c r="J98">
        <v>20</v>
      </c>
      <c r="K98" s="1">
        <v>44995.583333333336</v>
      </c>
      <c r="L98" s="1">
        <v>45023.541666666664</v>
      </c>
      <c r="M98" t="s">
        <v>421</v>
      </c>
      <c r="P98">
        <v>0</v>
      </c>
      <c r="Q98" t="s">
        <v>627</v>
      </c>
    </row>
    <row r="99" spans="4:17" hidden="1" x14ac:dyDescent="0.25">
      <c r="D99" t="s">
        <v>384</v>
      </c>
      <c r="I99">
        <v>98</v>
      </c>
      <c r="J99">
        <v>0</v>
      </c>
      <c r="K99" s="1">
        <v>45037.541666666664</v>
      </c>
      <c r="L99" s="1">
        <v>45037.541666666664</v>
      </c>
      <c r="M99" t="s">
        <v>422</v>
      </c>
      <c r="P99">
        <v>0</v>
      </c>
      <c r="Q99" t="s">
        <v>627</v>
      </c>
    </row>
    <row r="100" spans="4:17" x14ac:dyDescent="0.25">
      <c r="D100" t="s">
        <v>22</v>
      </c>
      <c r="I100">
        <v>99</v>
      </c>
      <c r="J100">
        <v>10</v>
      </c>
      <c r="K100" s="1">
        <v>45009.583333333336</v>
      </c>
      <c r="L100" s="1">
        <v>45023.541666666664</v>
      </c>
      <c r="M100">
        <v>88</v>
      </c>
      <c r="N100">
        <v>103</v>
      </c>
      <c r="O100" t="s">
        <v>59</v>
      </c>
      <c r="P100">
        <v>0</v>
      </c>
      <c r="Q100" t="s">
        <v>626</v>
      </c>
    </row>
    <row r="101" spans="4:17" x14ac:dyDescent="0.25">
      <c r="D101" t="s">
        <v>23</v>
      </c>
      <c r="I101">
        <v>100</v>
      </c>
      <c r="J101">
        <v>10</v>
      </c>
      <c r="K101" s="1">
        <v>45023.583333333336</v>
      </c>
      <c r="L101" s="1">
        <v>45037.541666666664</v>
      </c>
      <c r="M101">
        <v>96</v>
      </c>
      <c r="N101" t="s">
        <v>423</v>
      </c>
      <c r="O101" t="s">
        <v>43</v>
      </c>
      <c r="P101">
        <v>0</v>
      </c>
      <c r="Q101" t="s">
        <v>626</v>
      </c>
    </row>
    <row r="102" spans="4:17" hidden="1" x14ac:dyDescent="0.25">
      <c r="D102" t="s">
        <v>424</v>
      </c>
      <c r="I102">
        <v>101</v>
      </c>
      <c r="J102">
        <v>20</v>
      </c>
      <c r="K102" s="1">
        <v>45023.583333333336</v>
      </c>
      <c r="L102" s="1">
        <v>45051.541666666664</v>
      </c>
      <c r="M102" t="s">
        <v>425</v>
      </c>
      <c r="P102">
        <v>0</v>
      </c>
      <c r="Q102" t="s">
        <v>628</v>
      </c>
    </row>
    <row r="103" spans="4:17" hidden="1" x14ac:dyDescent="0.25">
      <c r="D103" t="s">
        <v>424</v>
      </c>
      <c r="I103">
        <v>102</v>
      </c>
      <c r="J103">
        <v>20</v>
      </c>
      <c r="K103" s="1">
        <v>45009.583333333336</v>
      </c>
      <c r="L103" s="1">
        <v>45037.541666666664</v>
      </c>
      <c r="M103" t="s">
        <v>425</v>
      </c>
      <c r="P103">
        <v>0</v>
      </c>
      <c r="Q103" t="s">
        <v>627</v>
      </c>
    </row>
    <row r="104" spans="4:17" x14ac:dyDescent="0.25">
      <c r="D104" t="s">
        <v>25</v>
      </c>
      <c r="I104">
        <v>103</v>
      </c>
      <c r="J104">
        <v>10</v>
      </c>
      <c r="K104" s="1">
        <v>45023.583333333336</v>
      </c>
      <c r="L104" s="1">
        <v>45037.541666666664</v>
      </c>
      <c r="M104">
        <v>99</v>
      </c>
      <c r="N104" t="s">
        <v>426</v>
      </c>
      <c r="O104" t="s">
        <v>59</v>
      </c>
      <c r="P104">
        <v>0</v>
      </c>
      <c r="Q104" t="s">
        <v>626</v>
      </c>
    </row>
    <row r="105" spans="4:17" hidden="1" x14ac:dyDescent="0.25">
      <c r="D105" t="s">
        <v>427</v>
      </c>
      <c r="I105">
        <v>104</v>
      </c>
      <c r="J105">
        <v>15</v>
      </c>
      <c r="K105" s="1">
        <v>45051.583333333336</v>
      </c>
      <c r="L105" s="1">
        <v>45072.541666666664</v>
      </c>
      <c r="M105" t="s">
        <v>428</v>
      </c>
      <c r="P105">
        <v>0</v>
      </c>
      <c r="Q105" t="s">
        <v>628</v>
      </c>
    </row>
    <row r="106" spans="4:17" hidden="1" x14ac:dyDescent="0.25">
      <c r="D106" t="s">
        <v>427</v>
      </c>
      <c r="I106">
        <v>105</v>
      </c>
      <c r="J106">
        <v>15</v>
      </c>
      <c r="K106" s="1">
        <v>45016.583333333336</v>
      </c>
      <c r="L106" s="1">
        <v>45037.541666666664</v>
      </c>
      <c r="M106" t="s">
        <v>428</v>
      </c>
      <c r="P106">
        <v>0</v>
      </c>
      <c r="Q106" t="s">
        <v>627</v>
      </c>
    </row>
    <row r="107" spans="4:17" hidden="1" x14ac:dyDescent="0.25">
      <c r="D107" t="s">
        <v>382</v>
      </c>
      <c r="I107">
        <v>106</v>
      </c>
      <c r="J107">
        <v>0</v>
      </c>
      <c r="K107" s="1">
        <v>45037.541666666664</v>
      </c>
      <c r="L107" s="1">
        <v>45037.541666666664</v>
      </c>
      <c r="M107" t="s">
        <v>429</v>
      </c>
      <c r="P107">
        <v>0</v>
      </c>
      <c r="Q107" t="s">
        <v>627</v>
      </c>
    </row>
    <row r="108" spans="4:17" x14ac:dyDescent="0.25">
      <c r="D108" t="s">
        <v>24</v>
      </c>
      <c r="I108">
        <v>107</v>
      </c>
      <c r="J108">
        <v>10</v>
      </c>
      <c r="K108" s="1">
        <v>44999.375</v>
      </c>
      <c r="L108" s="1">
        <v>45012.75</v>
      </c>
      <c r="N108">
        <v>108</v>
      </c>
      <c r="O108" t="s">
        <v>40</v>
      </c>
      <c r="P108">
        <v>0</v>
      </c>
      <c r="Q108" t="s">
        <v>626</v>
      </c>
    </row>
    <row r="109" spans="4:17" x14ac:dyDescent="0.25">
      <c r="D109" t="s">
        <v>26</v>
      </c>
      <c r="I109">
        <v>108</v>
      </c>
      <c r="J109">
        <v>10</v>
      </c>
      <c r="K109" s="1">
        <v>45013.375</v>
      </c>
      <c r="L109" s="1">
        <v>45026.75</v>
      </c>
      <c r="M109">
        <v>107</v>
      </c>
      <c r="N109" t="s">
        <v>430</v>
      </c>
      <c r="O109" t="s">
        <v>40</v>
      </c>
      <c r="P109">
        <v>0</v>
      </c>
      <c r="Q109" t="s">
        <v>626</v>
      </c>
    </row>
    <row r="110" spans="4:17" hidden="1" x14ac:dyDescent="0.25">
      <c r="D110" t="s">
        <v>431</v>
      </c>
      <c r="I110">
        <v>109</v>
      </c>
      <c r="J110">
        <v>15</v>
      </c>
      <c r="K110" s="1">
        <v>45051.583333333336</v>
      </c>
      <c r="L110" s="1">
        <v>45072.541666666664</v>
      </c>
      <c r="M110" t="s">
        <v>432</v>
      </c>
      <c r="P110">
        <v>0</v>
      </c>
      <c r="Q110" t="s">
        <v>628</v>
      </c>
    </row>
    <row r="111" spans="4:17" hidden="1" x14ac:dyDescent="0.25">
      <c r="D111" t="s">
        <v>431</v>
      </c>
      <c r="I111">
        <v>110</v>
      </c>
      <c r="J111">
        <v>15</v>
      </c>
      <c r="K111" s="1">
        <v>45006.375</v>
      </c>
      <c r="L111" s="1">
        <v>45026.75</v>
      </c>
      <c r="M111" t="s">
        <v>432</v>
      </c>
      <c r="P111">
        <v>0</v>
      </c>
      <c r="Q111" t="s">
        <v>627</v>
      </c>
    </row>
    <row r="112" spans="4:17" hidden="1" x14ac:dyDescent="0.25">
      <c r="D112" t="s">
        <v>378</v>
      </c>
      <c r="I112">
        <v>111</v>
      </c>
      <c r="J112">
        <v>0</v>
      </c>
      <c r="K112" s="1">
        <v>45026.75</v>
      </c>
      <c r="L112" s="1">
        <v>45026.75</v>
      </c>
      <c r="M112" t="s">
        <v>433</v>
      </c>
      <c r="P112">
        <v>0</v>
      </c>
      <c r="Q112" t="s">
        <v>627</v>
      </c>
    </row>
    <row r="113" spans="2:17" x14ac:dyDescent="0.25">
      <c r="D113" t="s">
        <v>27</v>
      </c>
      <c r="I113">
        <v>112</v>
      </c>
      <c r="J113">
        <v>10</v>
      </c>
      <c r="K113" s="1">
        <v>45037.583333333336</v>
      </c>
      <c r="L113" s="1">
        <v>45051.541666666664</v>
      </c>
      <c r="M113">
        <v>100</v>
      </c>
      <c r="N113" t="s">
        <v>434</v>
      </c>
      <c r="O113" t="s">
        <v>43</v>
      </c>
      <c r="P113">
        <v>0</v>
      </c>
      <c r="Q113" t="s">
        <v>626</v>
      </c>
    </row>
    <row r="114" spans="2:17" hidden="1" x14ac:dyDescent="0.25">
      <c r="D114" t="s">
        <v>380</v>
      </c>
      <c r="I114">
        <v>113</v>
      </c>
      <c r="J114">
        <v>0</v>
      </c>
      <c r="K114" s="1">
        <v>45051.541666666664</v>
      </c>
      <c r="L114" s="1">
        <v>45051.541666666664</v>
      </c>
      <c r="M114" t="s">
        <v>435</v>
      </c>
      <c r="P114">
        <v>0</v>
      </c>
      <c r="Q114" t="s">
        <v>627</v>
      </c>
    </row>
    <row r="115" spans="2:17" x14ac:dyDescent="0.25">
      <c r="D115" t="s">
        <v>28</v>
      </c>
      <c r="I115">
        <v>114</v>
      </c>
      <c r="J115">
        <v>10</v>
      </c>
      <c r="K115" s="1">
        <v>45037.583333333336</v>
      </c>
      <c r="L115" s="1">
        <v>45051.541666666664</v>
      </c>
      <c r="M115">
        <v>103</v>
      </c>
      <c r="N115" t="s">
        <v>436</v>
      </c>
      <c r="O115" t="s">
        <v>59</v>
      </c>
      <c r="P115">
        <v>0</v>
      </c>
      <c r="Q115" t="s">
        <v>626</v>
      </c>
    </row>
    <row r="116" spans="2:17" hidden="1" x14ac:dyDescent="0.25">
      <c r="D116" t="s">
        <v>437</v>
      </c>
      <c r="I116">
        <v>115</v>
      </c>
      <c r="J116">
        <v>15</v>
      </c>
      <c r="K116" s="1">
        <v>45051.583333333336</v>
      </c>
      <c r="L116" s="1">
        <v>45072.541666666664</v>
      </c>
      <c r="M116" t="s">
        <v>438</v>
      </c>
      <c r="P116">
        <v>0</v>
      </c>
      <c r="Q116" t="s">
        <v>628</v>
      </c>
    </row>
    <row r="117" spans="2:17" hidden="1" x14ac:dyDescent="0.25">
      <c r="D117" t="s">
        <v>437</v>
      </c>
      <c r="I117">
        <v>116</v>
      </c>
      <c r="J117">
        <v>15</v>
      </c>
      <c r="K117" s="1">
        <v>45030.583333333336</v>
      </c>
      <c r="L117" s="1">
        <v>45051.541666666664</v>
      </c>
      <c r="M117" t="s">
        <v>438</v>
      </c>
      <c r="P117">
        <v>0</v>
      </c>
      <c r="Q117" t="s">
        <v>627</v>
      </c>
    </row>
    <row r="118" spans="2:17" s="2" customFormat="1" x14ac:dyDescent="0.25">
      <c r="C118" s="2" t="s">
        <v>439</v>
      </c>
      <c r="I118" s="2">
        <v>117</v>
      </c>
      <c r="J118" s="2">
        <v>78.5</v>
      </c>
      <c r="K118" s="3">
        <v>44914.75</v>
      </c>
      <c r="L118" s="3">
        <v>45023.541666666664</v>
      </c>
      <c r="P118" s="2">
        <v>0</v>
      </c>
      <c r="Q118" s="2" t="s">
        <v>626</v>
      </c>
    </row>
    <row r="119" spans="2:17" x14ac:dyDescent="0.25">
      <c r="D119" t="s">
        <v>71</v>
      </c>
      <c r="I119">
        <v>118</v>
      </c>
      <c r="J119">
        <v>0</v>
      </c>
      <c r="K119" s="1">
        <v>44914.75</v>
      </c>
      <c r="L119" s="1">
        <v>44914.75</v>
      </c>
      <c r="M119">
        <v>331</v>
      </c>
      <c r="N119" t="s">
        <v>440</v>
      </c>
      <c r="P119">
        <v>0</v>
      </c>
      <c r="Q119" t="s">
        <v>626</v>
      </c>
    </row>
    <row r="120" spans="2:17" hidden="1" x14ac:dyDescent="0.25">
      <c r="D120" t="s">
        <v>441</v>
      </c>
      <c r="I120">
        <v>119</v>
      </c>
      <c r="J120">
        <v>15</v>
      </c>
      <c r="K120" s="1">
        <v>44901.375</v>
      </c>
      <c r="L120" s="1">
        <v>44921.75</v>
      </c>
      <c r="M120" t="s">
        <v>442</v>
      </c>
      <c r="P120">
        <v>0.04</v>
      </c>
      <c r="Q120" t="s">
        <v>628</v>
      </c>
    </row>
    <row r="121" spans="2:17" hidden="1" x14ac:dyDescent="0.25">
      <c r="D121" t="s">
        <v>441</v>
      </c>
      <c r="I121">
        <v>120</v>
      </c>
      <c r="J121">
        <v>15</v>
      </c>
      <c r="K121" s="1">
        <v>44901.375</v>
      </c>
      <c r="L121" s="1">
        <v>44921.75</v>
      </c>
      <c r="M121" t="s">
        <v>442</v>
      </c>
      <c r="P121">
        <v>0.04</v>
      </c>
      <c r="Q121" t="s">
        <v>627</v>
      </c>
    </row>
    <row r="122" spans="2:17" hidden="1" x14ac:dyDescent="0.25">
      <c r="D122" t="s">
        <v>443</v>
      </c>
      <c r="I122">
        <v>121</v>
      </c>
      <c r="J122">
        <v>15</v>
      </c>
      <c r="K122" s="1">
        <v>44901.375</v>
      </c>
      <c r="L122" s="1">
        <v>44921.75</v>
      </c>
      <c r="M122" t="s">
        <v>444</v>
      </c>
      <c r="P122">
        <v>0.5</v>
      </c>
      <c r="Q122" t="s">
        <v>627</v>
      </c>
    </row>
    <row r="123" spans="2:17" x14ac:dyDescent="0.25">
      <c r="D123" t="s">
        <v>72</v>
      </c>
      <c r="I123">
        <v>122</v>
      </c>
      <c r="J123">
        <v>1</v>
      </c>
      <c r="K123" s="1">
        <v>44977.375</v>
      </c>
      <c r="L123" s="1">
        <v>44977.75</v>
      </c>
      <c r="N123" t="s">
        <v>445</v>
      </c>
      <c r="P123">
        <v>0</v>
      </c>
      <c r="Q123" t="s">
        <v>626</v>
      </c>
    </row>
    <row r="124" spans="2:17" hidden="1" x14ac:dyDescent="0.25">
      <c r="D124" t="s">
        <v>443</v>
      </c>
      <c r="I124">
        <v>123</v>
      </c>
      <c r="J124">
        <v>7.5</v>
      </c>
      <c r="K124" s="1">
        <v>44901.375</v>
      </c>
      <c r="L124" s="1">
        <v>44910.583333333336</v>
      </c>
      <c r="M124" t="s">
        <v>444</v>
      </c>
      <c r="P124">
        <v>0.5</v>
      </c>
      <c r="Q124" t="s">
        <v>628</v>
      </c>
    </row>
    <row r="125" spans="2:17" hidden="1" x14ac:dyDescent="0.25">
      <c r="D125" t="s">
        <v>446</v>
      </c>
      <c r="I125">
        <v>124</v>
      </c>
      <c r="J125">
        <v>28.5</v>
      </c>
      <c r="K125" s="1">
        <v>44985.375</v>
      </c>
      <c r="L125" s="1">
        <v>45023.541666666664</v>
      </c>
      <c r="N125">
        <v>125</v>
      </c>
      <c r="P125">
        <v>0.34</v>
      </c>
      <c r="Q125" t="s">
        <v>629</v>
      </c>
    </row>
    <row r="126" spans="2:17" x14ac:dyDescent="0.25">
      <c r="D126" t="s">
        <v>447</v>
      </c>
      <c r="I126">
        <v>125</v>
      </c>
      <c r="J126">
        <v>0</v>
      </c>
      <c r="K126" s="1">
        <v>45023.541666666664</v>
      </c>
      <c r="L126" s="1">
        <v>45023.541666666664</v>
      </c>
      <c r="M126" t="s">
        <v>448</v>
      </c>
      <c r="P126">
        <v>0</v>
      </c>
      <c r="Q126" t="s">
        <v>626</v>
      </c>
    </row>
    <row r="127" spans="2:17" s="2" customFormat="1" x14ac:dyDescent="0.25">
      <c r="B127" s="2" t="s">
        <v>87</v>
      </c>
      <c r="I127" s="2">
        <v>126</v>
      </c>
      <c r="J127" s="2">
        <v>92</v>
      </c>
      <c r="K127" s="3">
        <v>44914.375</v>
      </c>
      <c r="L127" s="3">
        <v>45041.75</v>
      </c>
      <c r="P127" s="2">
        <v>0.28000000000000003</v>
      </c>
      <c r="Q127" s="2" t="s">
        <v>626</v>
      </c>
    </row>
    <row r="128" spans="2:17" hidden="1" x14ac:dyDescent="0.25">
      <c r="C128" t="s">
        <v>88</v>
      </c>
      <c r="I128">
        <v>127</v>
      </c>
      <c r="J128">
        <v>0</v>
      </c>
      <c r="K128" s="1">
        <v>44914.375</v>
      </c>
      <c r="L128" s="1">
        <v>44914.375</v>
      </c>
      <c r="M128">
        <v>58</v>
      </c>
      <c r="N128" t="s">
        <v>449</v>
      </c>
      <c r="P128">
        <v>1</v>
      </c>
      <c r="Q128" t="s">
        <v>626</v>
      </c>
    </row>
    <row r="129" spans="2:17" hidden="1" x14ac:dyDescent="0.25">
      <c r="C129" t="s">
        <v>450</v>
      </c>
      <c r="I129">
        <v>128</v>
      </c>
      <c r="J129">
        <v>0</v>
      </c>
      <c r="K129" s="1">
        <v>44918.75</v>
      </c>
      <c r="L129" s="1">
        <v>44918.75</v>
      </c>
      <c r="M129">
        <v>127</v>
      </c>
      <c r="P129">
        <v>1</v>
      </c>
      <c r="Q129" t="s">
        <v>628</v>
      </c>
    </row>
    <row r="130" spans="2:17" hidden="1" x14ac:dyDescent="0.25">
      <c r="C130" t="s">
        <v>450</v>
      </c>
      <c r="I130">
        <v>129</v>
      </c>
      <c r="J130">
        <v>0</v>
      </c>
      <c r="K130" s="1">
        <v>44918.75</v>
      </c>
      <c r="L130" s="1">
        <v>44918.75</v>
      </c>
      <c r="M130">
        <v>127</v>
      </c>
      <c r="P130">
        <v>1</v>
      </c>
      <c r="Q130" t="s">
        <v>627</v>
      </c>
    </row>
    <row r="131" spans="2:17" hidden="1" x14ac:dyDescent="0.25">
      <c r="C131" t="s">
        <v>89</v>
      </c>
      <c r="I131">
        <v>130</v>
      </c>
      <c r="J131">
        <v>0</v>
      </c>
      <c r="K131" s="1">
        <v>44935.375</v>
      </c>
      <c r="L131" s="1">
        <v>44935.375</v>
      </c>
      <c r="N131">
        <v>133</v>
      </c>
      <c r="P131">
        <v>1</v>
      </c>
      <c r="Q131" t="s">
        <v>626</v>
      </c>
    </row>
    <row r="132" spans="2:17" hidden="1" x14ac:dyDescent="0.25">
      <c r="C132" t="s">
        <v>451</v>
      </c>
      <c r="I132">
        <v>131</v>
      </c>
      <c r="J132">
        <v>10</v>
      </c>
      <c r="K132" s="1">
        <v>44965.375</v>
      </c>
      <c r="L132" s="1">
        <v>44978.75</v>
      </c>
      <c r="M132" t="s">
        <v>452</v>
      </c>
      <c r="P132">
        <v>0</v>
      </c>
      <c r="Q132" t="s">
        <v>627</v>
      </c>
    </row>
    <row r="133" spans="2:17" s="2" customFormat="1" hidden="1" x14ac:dyDescent="0.25">
      <c r="C133" s="2" t="s">
        <v>90</v>
      </c>
      <c r="I133" s="2">
        <v>132</v>
      </c>
      <c r="J133" s="2">
        <v>20</v>
      </c>
      <c r="K133" s="3">
        <v>44935.375</v>
      </c>
      <c r="L133" s="3">
        <v>44960.75</v>
      </c>
      <c r="P133" s="2">
        <v>1</v>
      </c>
      <c r="Q133" s="2" t="s">
        <v>626</v>
      </c>
    </row>
    <row r="134" spans="2:17" hidden="1" x14ac:dyDescent="0.25">
      <c r="D134" t="s">
        <v>90</v>
      </c>
      <c r="I134">
        <v>133</v>
      </c>
      <c r="J134">
        <v>12.5</v>
      </c>
      <c r="K134" s="1">
        <v>44935.375</v>
      </c>
      <c r="L134" s="1">
        <v>44951.541666666664</v>
      </c>
      <c r="M134" t="s">
        <v>453</v>
      </c>
      <c r="N134" t="s">
        <v>454</v>
      </c>
      <c r="O134" t="s">
        <v>40</v>
      </c>
      <c r="P134">
        <v>1</v>
      </c>
      <c r="Q134" t="s">
        <v>626</v>
      </c>
    </row>
    <row r="135" spans="2:17" hidden="1" x14ac:dyDescent="0.25">
      <c r="D135" t="s">
        <v>92</v>
      </c>
      <c r="I135">
        <v>134</v>
      </c>
      <c r="J135">
        <v>7.5</v>
      </c>
      <c r="K135" s="1">
        <v>44951.583333333336</v>
      </c>
      <c r="L135" s="1">
        <v>44960.75</v>
      </c>
      <c r="M135">
        <v>133</v>
      </c>
      <c r="N135" t="s">
        <v>455</v>
      </c>
      <c r="O135" t="s">
        <v>93</v>
      </c>
      <c r="P135">
        <v>1</v>
      </c>
      <c r="Q135" t="s">
        <v>626</v>
      </c>
    </row>
    <row r="136" spans="2:17" hidden="1" x14ac:dyDescent="0.25">
      <c r="D136" t="s">
        <v>456</v>
      </c>
      <c r="I136">
        <v>135</v>
      </c>
      <c r="J136">
        <v>10</v>
      </c>
      <c r="K136" s="1">
        <v>44979.375</v>
      </c>
      <c r="L136" s="1">
        <v>44992.75</v>
      </c>
      <c r="M136" t="s">
        <v>457</v>
      </c>
      <c r="P136">
        <v>0</v>
      </c>
      <c r="Q136" t="s">
        <v>628</v>
      </c>
    </row>
    <row r="137" spans="2:17" hidden="1" x14ac:dyDescent="0.25">
      <c r="D137" t="s">
        <v>456</v>
      </c>
      <c r="I137">
        <v>136</v>
      </c>
      <c r="J137">
        <v>10</v>
      </c>
      <c r="K137" s="1">
        <v>44979.375</v>
      </c>
      <c r="L137" s="1">
        <v>44992.75</v>
      </c>
      <c r="M137" t="s">
        <v>457</v>
      </c>
      <c r="P137">
        <v>0</v>
      </c>
      <c r="Q137" t="s">
        <v>627</v>
      </c>
    </row>
    <row r="138" spans="2:17" x14ac:dyDescent="0.25">
      <c r="C138" t="s">
        <v>94</v>
      </c>
      <c r="I138">
        <v>137</v>
      </c>
      <c r="J138">
        <v>0</v>
      </c>
      <c r="K138" s="1">
        <v>44999.75</v>
      </c>
      <c r="L138" s="1">
        <v>44999.75</v>
      </c>
      <c r="M138" t="s">
        <v>458</v>
      </c>
      <c r="N138" t="s">
        <v>459</v>
      </c>
      <c r="P138">
        <v>0</v>
      </c>
      <c r="Q138" t="s">
        <v>626</v>
      </c>
    </row>
    <row r="139" spans="2:17" x14ac:dyDescent="0.25">
      <c r="C139" t="s">
        <v>96</v>
      </c>
      <c r="I139">
        <v>138</v>
      </c>
      <c r="J139">
        <v>15</v>
      </c>
      <c r="K139" s="1">
        <v>44993.375</v>
      </c>
      <c r="L139" s="1">
        <v>45013.75</v>
      </c>
      <c r="M139" t="s">
        <v>460</v>
      </c>
      <c r="N139">
        <v>139</v>
      </c>
      <c r="O139" t="s">
        <v>93</v>
      </c>
      <c r="P139">
        <v>0</v>
      </c>
      <c r="Q139" t="s">
        <v>626</v>
      </c>
    </row>
    <row r="140" spans="2:17" x14ac:dyDescent="0.25">
      <c r="C140" t="s">
        <v>97</v>
      </c>
      <c r="I140">
        <v>139</v>
      </c>
      <c r="J140">
        <v>20</v>
      </c>
      <c r="K140" s="1">
        <v>45014.375</v>
      </c>
      <c r="L140" s="1">
        <v>45041.75</v>
      </c>
      <c r="M140">
        <v>138</v>
      </c>
      <c r="N140" t="s">
        <v>461</v>
      </c>
      <c r="O140" t="s">
        <v>93</v>
      </c>
      <c r="P140">
        <v>0</v>
      </c>
      <c r="Q140" t="s">
        <v>626</v>
      </c>
    </row>
    <row r="141" spans="2:17" hidden="1" x14ac:dyDescent="0.25">
      <c r="C141" t="s">
        <v>462</v>
      </c>
      <c r="I141">
        <v>140</v>
      </c>
      <c r="J141">
        <v>15</v>
      </c>
      <c r="K141" s="1">
        <v>45021.375</v>
      </c>
      <c r="L141" s="1">
        <v>45041.75</v>
      </c>
      <c r="M141" t="s">
        <v>463</v>
      </c>
      <c r="P141">
        <v>0</v>
      </c>
      <c r="Q141" t="s">
        <v>628</v>
      </c>
    </row>
    <row r="142" spans="2:17" hidden="1" x14ac:dyDescent="0.25">
      <c r="C142" t="s">
        <v>462</v>
      </c>
      <c r="I142">
        <v>141</v>
      </c>
      <c r="J142">
        <v>15</v>
      </c>
      <c r="K142" s="1">
        <v>45040.375</v>
      </c>
      <c r="L142" s="1">
        <v>45058.75</v>
      </c>
      <c r="M142" t="s">
        <v>463</v>
      </c>
      <c r="P142">
        <v>0</v>
      </c>
      <c r="Q142" t="s">
        <v>627</v>
      </c>
    </row>
    <row r="143" spans="2:17" x14ac:dyDescent="0.25">
      <c r="C143" t="s">
        <v>464</v>
      </c>
      <c r="I143">
        <v>142</v>
      </c>
      <c r="J143">
        <v>16</v>
      </c>
      <c r="K143" s="1">
        <v>44998.375</v>
      </c>
      <c r="L143" s="1">
        <v>45019.75</v>
      </c>
      <c r="O143" t="s">
        <v>54</v>
      </c>
      <c r="P143">
        <v>0</v>
      </c>
      <c r="Q143" t="s">
        <v>626</v>
      </c>
    </row>
    <row r="144" spans="2:17" s="2" customFormat="1" hidden="1" x14ac:dyDescent="0.25">
      <c r="B144" s="2" t="s">
        <v>465</v>
      </c>
      <c r="I144" s="2">
        <v>143</v>
      </c>
      <c r="J144" s="2">
        <v>16</v>
      </c>
      <c r="K144" s="3">
        <v>44768.375</v>
      </c>
      <c r="L144" s="3">
        <v>44789.75</v>
      </c>
      <c r="P144" s="2">
        <v>1</v>
      </c>
      <c r="Q144" s="2" t="s">
        <v>626</v>
      </c>
    </row>
    <row r="145" spans="2:17" hidden="1" x14ac:dyDescent="0.25">
      <c r="C145" t="s">
        <v>466</v>
      </c>
      <c r="I145">
        <v>144</v>
      </c>
      <c r="J145">
        <v>0</v>
      </c>
      <c r="K145" s="1">
        <v>44768.375</v>
      </c>
      <c r="L145" s="1">
        <v>44768.375</v>
      </c>
      <c r="N145" t="s">
        <v>467</v>
      </c>
      <c r="O145" t="s">
        <v>93</v>
      </c>
      <c r="P145">
        <v>1</v>
      </c>
      <c r="Q145" t="s">
        <v>626</v>
      </c>
    </row>
    <row r="146" spans="2:17" hidden="1" x14ac:dyDescent="0.25">
      <c r="C146" t="s">
        <v>468</v>
      </c>
      <c r="I146">
        <v>145</v>
      </c>
      <c r="J146">
        <v>0.66666666666666663</v>
      </c>
      <c r="K146" s="1">
        <v>44768.375</v>
      </c>
      <c r="L146" s="1">
        <v>44768.638888888891</v>
      </c>
      <c r="M146">
        <v>144</v>
      </c>
      <c r="O146" t="s">
        <v>40</v>
      </c>
      <c r="P146">
        <v>1</v>
      </c>
      <c r="Q146" t="s">
        <v>626</v>
      </c>
    </row>
    <row r="147" spans="2:17" hidden="1" x14ac:dyDescent="0.25">
      <c r="C147" t="s">
        <v>469</v>
      </c>
      <c r="I147">
        <v>146</v>
      </c>
      <c r="J147">
        <v>1</v>
      </c>
      <c r="K147" s="1">
        <v>44768.375</v>
      </c>
      <c r="L147" s="1">
        <v>44768.75</v>
      </c>
      <c r="O147" t="s">
        <v>93</v>
      </c>
      <c r="P147">
        <v>1</v>
      </c>
      <c r="Q147" t="s">
        <v>626</v>
      </c>
    </row>
    <row r="148" spans="2:17" s="2" customFormat="1" hidden="1" x14ac:dyDescent="0.25">
      <c r="C148" s="2" t="s">
        <v>470</v>
      </c>
      <c r="I148" s="2">
        <v>147</v>
      </c>
      <c r="J148" s="2">
        <v>12</v>
      </c>
      <c r="K148" s="3">
        <v>44774.375</v>
      </c>
      <c r="L148" s="3">
        <v>44789.75</v>
      </c>
      <c r="N148" s="2" t="s">
        <v>471</v>
      </c>
      <c r="P148" s="2">
        <v>1</v>
      </c>
      <c r="Q148" s="2" t="s">
        <v>626</v>
      </c>
    </row>
    <row r="149" spans="2:17" hidden="1" x14ac:dyDescent="0.25">
      <c r="D149" t="s">
        <v>472</v>
      </c>
      <c r="I149">
        <v>148</v>
      </c>
      <c r="J149">
        <v>5</v>
      </c>
      <c r="K149" s="1">
        <v>44774.375</v>
      </c>
      <c r="L149" s="1">
        <v>44778.75</v>
      </c>
      <c r="O149" t="s">
        <v>98</v>
      </c>
      <c r="P149">
        <v>1</v>
      </c>
      <c r="Q149" t="s">
        <v>626</v>
      </c>
    </row>
    <row r="150" spans="2:17" hidden="1" x14ac:dyDescent="0.25">
      <c r="D150" t="s">
        <v>473</v>
      </c>
      <c r="I150">
        <v>149</v>
      </c>
      <c r="J150">
        <v>12</v>
      </c>
      <c r="K150" s="1">
        <v>44774.375</v>
      </c>
      <c r="L150" s="1">
        <v>44789.75</v>
      </c>
      <c r="O150" t="s">
        <v>93</v>
      </c>
      <c r="P150">
        <v>1</v>
      </c>
      <c r="Q150" t="s">
        <v>626</v>
      </c>
    </row>
    <row r="151" spans="2:17" s="2" customFormat="1" hidden="1" x14ac:dyDescent="0.25">
      <c r="B151" s="2" t="s">
        <v>474</v>
      </c>
      <c r="I151" s="2">
        <v>150</v>
      </c>
      <c r="J151" s="2">
        <v>22.5</v>
      </c>
      <c r="K151" s="3">
        <v>44770.375</v>
      </c>
      <c r="L151" s="3">
        <v>44802.541666666664</v>
      </c>
      <c r="P151" s="2">
        <v>1</v>
      </c>
      <c r="Q151" s="2" t="s">
        <v>626</v>
      </c>
    </row>
    <row r="152" spans="2:17" hidden="1" x14ac:dyDescent="0.25">
      <c r="C152" t="s">
        <v>475</v>
      </c>
      <c r="I152">
        <v>151</v>
      </c>
      <c r="J152">
        <v>15</v>
      </c>
      <c r="K152" s="1">
        <v>44770.375</v>
      </c>
      <c r="L152" s="1">
        <v>44790.75</v>
      </c>
      <c r="N152">
        <v>152</v>
      </c>
      <c r="O152" t="s">
        <v>101</v>
      </c>
      <c r="P152">
        <v>1</v>
      </c>
      <c r="Q152" t="s">
        <v>626</v>
      </c>
    </row>
    <row r="153" spans="2:17" hidden="1" x14ac:dyDescent="0.25">
      <c r="C153" t="s">
        <v>476</v>
      </c>
      <c r="I153">
        <v>152</v>
      </c>
      <c r="J153">
        <v>2.5</v>
      </c>
      <c r="K153" s="1">
        <v>44791.375</v>
      </c>
      <c r="L153" s="1">
        <v>44795.541666666664</v>
      </c>
      <c r="M153">
        <v>151</v>
      </c>
      <c r="N153">
        <v>153</v>
      </c>
      <c r="O153" t="s">
        <v>40</v>
      </c>
      <c r="P153">
        <v>1</v>
      </c>
      <c r="Q153" t="s">
        <v>626</v>
      </c>
    </row>
    <row r="154" spans="2:17" hidden="1" x14ac:dyDescent="0.25">
      <c r="C154" t="s">
        <v>477</v>
      </c>
      <c r="I154">
        <v>153</v>
      </c>
      <c r="J154">
        <v>2.5</v>
      </c>
      <c r="K154" s="1">
        <v>44795.583333333336</v>
      </c>
      <c r="L154" s="1">
        <v>44797.75</v>
      </c>
      <c r="M154">
        <v>152</v>
      </c>
      <c r="N154">
        <v>154</v>
      </c>
      <c r="O154" t="s">
        <v>478</v>
      </c>
      <c r="P154">
        <v>1</v>
      </c>
      <c r="Q154" t="s">
        <v>626</v>
      </c>
    </row>
    <row r="155" spans="2:17" hidden="1" x14ac:dyDescent="0.25">
      <c r="C155" t="s">
        <v>479</v>
      </c>
      <c r="I155">
        <v>154</v>
      </c>
      <c r="J155">
        <v>2.5</v>
      </c>
      <c r="K155" s="1">
        <v>44798.375</v>
      </c>
      <c r="L155" s="1">
        <v>44802.541666666664</v>
      </c>
      <c r="M155">
        <v>153</v>
      </c>
      <c r="O155" t="s">
        <v>480</v>
      </c>
      <c r="P155">
        <v>1</v>
      </c>
      <c r="Q155" t="s">
        <v>626</v>
      </c>
    </row>
    <row r="156" spans="2:17" s="2" customFormat="1" x14ac:dyDescent="0.25">
      <c r="B156" s="2" t="s">
        <v>481</v>
      </c>
      <c r="I156" s="2">
        <v>155</v>
      </c>
      <c r="J156" s="2">
        <v>274</v>
      </c>
      <c r="K156" s="3">
        <v>44760.375</v>
      </c>
      <c r="L156" s="3">
        <v>45141.75</v>
      </c>
      <c r="O156" s="2" t="s">
        <v>40</v>
      </c>
      <c r="P156" s="2">
        <v>0.92</v>
      </c>
      <c r="Q156" s="2" t="s">
        <v>626</v>
      </c>
    </row>
    <row r="157" spans="2:17" s="2" customFormat="1" hidden="1" x14ac:dyDescent="0.25">
      <c r="C157" s="2" t="s">
        <v>103</v>
      </c>
      <c r="I157" s="2">
        <v>156</v>
      </c>
      <c r="J157" s="2">
        <v>85</v>
      </c>
      <c r="K157" s="3">
        <v>44768.375</v>
      </c>
      <c r="L157" s="3">
        <v>44886.75</v>
      </c>
      <c r="N157" s="2" t="s">
        <v>482</v>
      </c>
      <c r="P157" s="2">
        <v>1</v>
      </c>
      <c r="Q157" s="2" t="s">
        <v>626</v>
      </c>
    </row>
    <row r="158" spans="2:17" hidden="1" x14ac:dyDescent="0.25">
      <c r="D158" t="s">
        <v>105</v>
      </c>
      <c r="I158">
        <v>157</v>
      </c>
      <c r="J158">
        <v>5</v>
      </c>
      <c r="K158" s="1">
        <v>44788.375</v>
      </c>
      <c r="L158" s="1">
        <v>44792.75</v>
      </c>
      <c r="O158" t="s">
        <v>40</v>
      </c>
      <c r="P158">
        <v>1</v>
      </c>
      <c r="Q158" t="s">
        <v>626</v>
      </c>
    </row>
    <row r="159" spans="2:17" s="2" customFormat="1" hidden="1" x14ac:dyDescent="0.25">
      <c r="D159" s="2" t="s">
        <v>106</v>
      </c>
      <c r="I159" s="2">
        <v>158</v>
      </c>
      <c r="J159" s="2">
        <v>85</v>
      </c>
      <c r="K159" s="3">
        <v>44768.375</v>
      </c>
      <c r="L159" s="3">
        <v>44886.75</v>
      </c>
      <c r="P159" s="2">
        <v>1</v>
      </c>
      <c r="Q159" s="2" t="s">
        <v>626</v>
      </c>
    </row>
    <row r="160" spans="2:17" hidden="1" x14ac:dyDescent="0.25">
      <c r="E160" t="s">
        <v>107</v>
      </c>
      <c r="I160">
        <v>159</v>
      </c>
      <c r="J160">
        <v>17.5</v>
      </c>
      <c r="K160" s="1">
        <v>44768.375</v>
      </c>
      <c r="L160" s="1">
        <v>44791.541666666664</v>
      </c>
      <c r="O160" t="s">
        <v>40</v>
      </c>
      <c r="P160">
        <v>1</v>
      </c>
      <c r="Q160" t="s">
        <v>626</v>
      </c>
    </row>
    <row r="161" spans="1:17" hidden="1" x14ac:dyDescent="0.25">
      <c r="E161" t="s">
        <v>108</v>
      </c>
      <c r="I161">
        <v>160</v>
      </c>
      <c r="J161">
        <v>16</v>
      </c>
      <c r="K161" s="1">
        <v>44865.375</v>
      </c>
      <c r="L161" s="1">
        <v>44886.75</v>
      </c>
      <c r="O161" t="s">
        <v>43</v>
      </c>
      <c r="P161">
        <v>1</v>
      </c>
      <c r="Q161" t="s">
        <v>626</v>
      </c>
    </row>
    <row r="162" spans="1:17" hidden="1" x14ac:dyDescent="0.25">
      <c r="E162" t="s">
        <v>109</v>
      </c>
      <c r="I162">
        <v>161</v>
      </c>
      <c r="J162">
        <v>18.75</v>
      </c>
      <c r="K162" s="1">
        <v>44768.375</v>
      </c>
      <c r="L162" s="1">
        <v>44792.666666666664</v>
      </c>
      <c r="N162">
        <v>168</v>
      </c>
      <c r="O162" t="s">
        <v>110</v>
      </c>
      <c r="P162">
        <v>1</v>
      </c>
      <c r="Q162" t="s">
        <v>626</v>
      </c>
    </row>
    <row r="163" spans="1:17" hidden="1" x14ac:dyDescent="0.25">
      <c r="E163" t="s">
        <v>111</v>
      </c>
      <c r="I163">
        <v>162</v>
      </c>
      <c r="J163">
        <v>18</v>
      </c>
      <c r="K163" s="1">
        <v>44768.375</v>
      </c>
      <c r="L163" s="1">
        <v>44791.75</v>
      </c>
      <c r="N163">
        <v>163</v>
      </c>
      <c r="O163" t="s">
        <v>112</v>
      </c>
      <c r="P163">
        <v>1</v>
      </c>
      <c r="Q163" t="s">
        <v>626</v>
      </c>
    </row>
    <row r="164" spans="1:17" hidden="1" x14ac:dyDescent="0.25">
      <c r="E164" t="s">
        <v>113</v>
      </c>
      <c r="I164">
        <v>163</v>
      </c>
      <c r="J164">
        <v>1.625</v>
      </c>
      <c r="K164" s="1">
        <v>44823.375</v>
      </c>
      <c r="L164" s="1">
        <v>44824.625</v>
      </c>
      <c r="M164">
        <v>162</v>
      </c>
      <c r="O164" t="s">
        <v>101</v>
      </c>
      <c r="P164">
        <v>1</v>
      </c>
      <c r="Q164" t="s">
        <v>626</v>
      </c>
    </row>
    <row r="165" spans="1:17" hidden="1" x14ac:dyDescent="0.25">
      <c r="E165" t="s">
        <v>114</v>
      </c>
      <c r="I165">
        <v>164</v>
      </c>
      <c r="J165">
        <v>18.75</v>
      </c>
      <c r="K165" s="1">
        <v>44768.375</v>
      </c>
      <c r="L165" s="1">
        <v>44792.666666666664</v>
      </c>
      <c r="N165">
        <v>166</v>
      </c>
      <c r="O165" t="s">
        <v>112</v>
      </c>
      <c r="P165">
        <v>1</v>
      </c>
      <c r="Q165" t="s">
        <v>626</v>
      </c>
    </row>
    <row r="166" spans="1:17" s="2" customFormat="1" x14ac:dyDescent="0.25">
      <c r="A166" s="9" t="s">
        <v>630</v>
      </c>
      <c r="C166" s="2" t="s">
        <v>483</v>
      </c>
      <c r="I166" s="2">
        <v>165</v>
      </c>
      <c r="J166" s="2">
        <v>268</v>
      </c>
      <c r="K166" s="3">
        <v>44768.375</v>
      </c>
      <c r="L166" s="3">
        <v>45141.75</v>
      </c>
      <c r="M166" s="2">
        <v>144</v>
      </c>
      <c r="P166" s="2">
        <v>0.9</v>
      </c>
      <c r="Q166" s="2" t="s">
        <v>626</v>
      </c>
    </row>
    <row r="167" spans="1:17" hidden="1" x14ac:dyDescent="0.25">
      <c r="D167" t="s">
        <v>117</v>
      </c>
      <c r="I167">
        <v>166</v>
      </c>
      <c r="J167">
        <v>41</v>
      </c>
      <c r="K167" s="1">
        <v>44823.375</v>
      </c>
      <c r="L167" s="1">
        <v>44879.75</v>
      </c>
      <c r="M167">
        <v>164</v>
      </c>
      <c r="O167" t="s">
        <v>101</v>
      </c>
      <c r="P167">
        <v>1</v>
      </c>
      <c r="Q167" t="s">
        <v>626</v>
      </c>
    </row>
    <row r="168" spans="1:17" hidden="1" x14ac:dyDescent="0.25">
      <c r="D168" t="s">
        <v>484</v>
      </c>
      <c r="I168">
        <v>167</v>
      </c>
      <c r="J168">
        <v>5</v>
      </c>
      <c r="K168" s="1">
        <v>44915.375</v>
      </c>
      <c r="L168" s="1">
        <v>44921.75</v>
      </c>
      <c r="O168" t="s">
        <v>40</v>
      </c>
      <c r="P168">
        <v>1</v>
      </c>
      <c r="Q168" t="s">
        <v>626</v>
      </c>
    </row>
    <row r="169" spans="1:17" hidden="1" x14ac:dyDescent="0.25">
      <c r="D169" t="s">
        <v>116</v>
      </c>
      <c r="I169">
        <v>168</v>
      </c>
      <c r="J169">
        <v>58.5</v>
      </c>
      <c r="K169" s="1">
        <v>44792.666666666664</v>
      </c>
      <c r="L169" s="1">
        <v>44907.75</v>
      </c>
      <c r="M169">
        <v>161</v>
      </c>
      <c r="N169">
        <v>169</v>
      </c>
      <c r="O169" t="s">
        <v>43</v>
      </c>
      <c r="P169">
        <v>1</v>
      </c>
      <c r="Q169" t="s">
        <v>626</v>
      </c>
    </row>
    <row r="170" spans="1:17" hidden="1" x14ac:dyDescent="0.25">
      <c r="D170" t="s">
        <v>485</v>
      </c>
      <c r="I170">
        <v>169</v>
      </c>
      <c r="J170">
        <v>3.75</v>
      </c>
      <c r="K170" s="1">
        <v>44921.375</v>
      </c>
      <c r="L170" s="1">
        <v>44924.666666666664</v>
      </c>
      <c r="M170">
        <v>168</v>
      </c>
      <c r="O170" t="s">
        <v>43</v>
      </c>
      <c r="P170">
        <v>1</v>
      </c>
      <c r="Q170" t="s">
        <v>626</v>
      </c>
    </row>
    <row r="171" spans="1:17" hidden="1" x14ac:dyDescent="0.25">
      <c r="D171" t="s">
        <v>118</v>
      </c>
      <c r="I171">
        <v>170</v>
      </c>
      <c r="J171">
        <v>18.75</v>
      </c>
      <c r="K171" s="1">
        <v>44768.375</v>
      </c>
      <c r="L171" s="1">
        <v>44792.666666666664</v>
      </c>
      <c r="N171">
        <v>172</v>
      </c>
      <c r="O171" t="s">
        <v>45</v>
      </c>
      <c r="P171">
        <v>1</v>
      </c>
      <c r="Q171" t="s">
        <v>626</v>
      </c>
    </row>
    <row r="172" spans="1:17" s="2" customFormat="1" hidden="1" x14ac:dyDescent="0.25">
      <c r="D172" s="2" t="s">
        <v>119</v>
      </c>
      <c r="I172" s="2">
        <v>171</v>
      </c>
      <c r="J172" s="2">
        <v>21</v>
      </c>
      <c r="K172" s="3">
        <v>44792.666666666664</v>
      </c>
      <c r="L172" s="3">
        <v>44823.666666666664</v>
      </c>
      <c r="P172" s="2">
        <v>1</v>
      </c>
      <c r="Q172" s="2" t="s">
        <v>626</v>
      </c>
    </row>
    <row r="173" spans="1:17" hidden="1" x14ac:dyDescent="0.25">
      <c r="E173" t="s">
        <v>119</v>
      </c>
      <c r="I173">
        <v>172</v>
      </c>
      <c r="J173">
        <v>8</v>
      </c>
      <c r="K173" s="1">
        <v>44792.666666666664</v>
      </c>
      <c r="L173" s="1">
        <v>44819.666666666664</v>
      </c>
      <c r="M173">
        <v>170</v>
      </c>
      <c r="N173">
        <v>173</v>
      </c>
      <c r="O173" t="s">
        <v>45</v>
      </c>
      <c r="P173">
        <v>1</v>
      </c>
      <c r="Q173" t="s">
        <v>626</v>
      </c>
    </row>
    <row r="174" spans="1:17" hidden="1" x14ac:dyDescent="0.25">
      <c r="E174" t="s">
        <v>113</v>
      </c>
      <c r="I174">
        <v>173</v>
      </c>
      <c r="J174">
        <v>2</v>
      </c>
      <c r="K174" s="1">
        <v>44819.666666666664</v>
      </c>
      <c r="L174" s="1">
        <v>44823.666666666664</v>
      </c>
      <c r="M174">
        <v>172</v>
      </c>
      <c r="O174" t="s">
        <v>40</v>
      </c>
      <c r="P174">
        <v>1</v>
      </c>
      <c r="Q174" t="s">
        <v>626</v>
      </c>
    </row>
    <row r="175" spans="1:17" s="2" customFormat="1" x14ac:dyDescent="0.25">
      <c r="D175" s="2" t="s">
        <v>486</v>
      </c>
      <c r="I175" s="2">
        <v>174</v>
      </c>
      <c r="J175" s="2">
        <v>74.666666666666671</v>
      </c>
      <c r="K175" s="3">
        <v>44907.375</v>
      </c>
      <c r="L175" s="3">
        <v>45009.638888888891</v>
      </c>
      <c r="P175" s="2">
        <v>0.85</v>
      </c>
      <c r="Q175" s="2" t="s">
        <v>626</v>
      </c>
    </row>
    <row r="176" spans="1:17" hidden="1" x14ac:dyDescent="0.25">
      <c r="E176" t="s">
        <v>487</v>
      </c>
      <c r="I176">
        <v>175</v>
      </c>
      <c r="J176">
        <v>15</v>
      </c>
      <c r="K176" s="1">
        <v>44907.375</v>
      </c>
      <c r="L176" s="1">
        <v>44925.75</v>
      </c>
      <c r="N176" t="s">
        <v>488</v>
      </c>
      <c r="O176" t="s">
        <v>414</v>
      </c>
      <c r="P176">
        <v>1</v>
      </c>
      <c r="Q176" t="s">
        <v>626</v>
      </c>
    </row>
    <row r="177" spans="4:17" hidden="1" x14ac:dyDescent="0.25">
      <c r="E177" t="s">
        <v>489</v>
      </c>
      <c r="I177">
        <v>176</v>
      </c>
      <c r="J177">
        <v>50</v>
      </c>
      <c r="K177" s="1">
        <v>44917.375</v>
      </c>
      <c r="L177" s="1">
        <v>44986.75</v>
      </c>
      <c r="M177" t="s">
        <v>490</v>
      </c>
      <c r="N177">
        <v>177</v>
      </c>
      <c r="O177" t="s">
        <v>414</v>
      </c>
      <c r="P177">
        <v>1</v>
      </c>
      <c r="Q177" t="s">
        <v>626</v>
      </c>
    </row>
    <row r="178" spans="4:17" x14ac:dyDescent="0.25">
      <c r="E178" t="s">
        <v>491</v>
      </c>
      <c r="I178">
        <v>177</v>
      </c>
      <c r="J178">
        <v>16.666666666666668</v>
      </c>
      <c r="K178" s="1">
        <v>44987.375</v>
      </c>
      <c r="L178" s="1">
        <v>45009.638888888891</v>
      </c>
      <c r="M178">
        <v>176</v>
      </c>
      <c r="O178" t="s">
        <v>414</v>
      </c>
      <c r="P178">
        <v>0.25</v>
      </c>
      <c r="Q178" t="s">
        <v>626</v>
      </c>
    </row>
    <row r="179" spans="4:17" s="2" customFormat="1" x14ac:dyDescent="0.25">
      <c r="D179" s="2" t="s">
        <v>120</v>
      </c>
      <c r="I179" s="2">
        <v>178</v>
      </c>
      <c r="J179" s="2">
        <v>244</v>
      </c>
      <c r="K179" s="3">
        <v>44802.375</v>
      </c>
      <c r="L179" s="3">
        <v>45141.75</v>
      </c>
      <c r="P179" s="2">
        <v>0.97</v>
      </c>
      <c r="Q179" s="2" t="s">
        <v>626</v>
      </c>
    </row>
    <row r="180" spans="4:17" hidden="1" x14ac:dyDescent="0.25">
      <c r="E180" t="s">
        <v>121</v>
      </c>
      <c r="I180">
        <v>179</v>
      </c>
      <c r="J180">
        <v>20</v>
      </c>
      <c r="K180" s="1">
        <v>44802.375</v>
      </c>
      <c r="L180" s="1">
        <v>44827.75</v>
      </c>
      <c r="N180">
        <v>180</v>
      </c>
      <c r="O180" t="s">
        <v>59</v>
      </c>
      <c r="P180">
        <v>1</v>
      </c>
      <c r="Q180" t="s">
        <v>626</v>
      </c>
    </row>
    <row r="181" spans="4:17" hidden="1" x14ac:dyDescent="0.25">
      <c r="E181" t="s">
        <v>122</v>
      </c>
      <c r="I181">
        <v>180</v>
      </c>
      <c r="J181">
        <v>15</v>
      </c>
      <c r="K181" s="1">
        <v>44830.375</v>
      </c>
      <c r="L181" s="1">
        <v>44848.75</v>
      </c>
      <c r="M181">
        <v>179</v>
      </c>
      <c r="O181" t="s">
        <v>59</v>
      </c>
      <c r="P181">
        <v>1</v>
      </c>
      <c r="Q181" t="s">
        <v>626</v>
      </c>
    </row>
    <row r="182" spans="4:17" hidden="1" x14ac:dyDescent="0.25">
      <c r="E182" t="s">
        <v>123</v>
      </c>
      <c r="I182">
        <v>181</v>
      </c>
      <c r="J182">
        <v>5</v>
      </c>
      <c r="K182" s="1">
        <v>44866.375</v>
      </c>
      <c r="L182" s="1">
        <v>44872.75</v>
      </c>
      <c r="N182">
        <v>182</v>
      </c>
      <c r="O182" t="s">
        <v>101</v>
      </c>
      <c r="P182">
        <v>1</v>
      </c>
      <c r="Q182" t="s">
        <v>626</v>
      </c>
    </row>
    <row r="183" spans="4:17" hidden="1" x14ac:dyDescent="0.25">
      <c r="E183" t="s">
        <v>492</v>
      </c>
      <c r="I183">
        <v>182</v>
      </c>
      <c r="J183">
        <v>52</v>
      </c>
      <c r="K183" s="1">
        <v>44907.375</v>
      </c>
      <c r="L183" s="1">
        <v>44978.75</v>
      </c>
      <c r="M183">
        <v>181</v>
      </c>
      <c r="N183">
        <v>183</v>
      </c>
      <c r="O183" t="s">
        <v>59</v>
      </c>
      <c r="P183">
        <v>1</v>
      </c>
      <c r="Q183" t="s">
        <v>626</v>
      </c>
    </row>
    <row r="184" spans="4:17" x14ac:dyDescent="0.25">
      <c r="E184" t="s">
        <v>493</v>
      </c>
      <c r="I184">
        <v>183</v>
      </c>
      <c r="J184">
        <v>3</v>
      </c>
      <c r="K184" s="1">
        <v>45139.375</v>
      </c>
      <c r="L184" s="1">
        <v>45141.75</v>
      </c>
      <c r="M184">
        <v>182</v>
      </c>
      <c r="O184" t="s">
        <v>40</v>
      </c>
      <c r="P184">
        <v>0</v>
      </c>
      <c r="Q184" t="s">
        <v>626</v>
      </c>
    </row>
    <row r="185" spans="4:17" s="2" customFormat="1" x14ac:dyDescent="0.25">
      <c r="D185" s="2" t="s">
        <v>124</v>
      </c>
      <c r="I185" s="2">
        <v>184</v>
      </c>
      <c r="J185" s="2">
        <v>33.666666666666664</v>
      </c>
      <c r="K185" s="3">
        <v>44964.375</v>
      </c>
      <c r="L185" s="3">
        <v>45009.638888888891</v>
      </c>
      <c r="O185" s="2" t="s">
        <v>59</v>
      </c>
      <c r="P185" s="2">
        <v>0.67</v>
      </c>
      <c r="Q185" s="2" t="s">
        <v>626</v>
      </c>
    </row>
    <row r="186" spans="4:17" hidden="1" x14ac:dyDescent="0.25">
      <c r="E186" t="s">
        <v>494</v>
      </c>
      <c r="I186">
        <v>185</v>
      </c>
      <c r="J186">
        <v>21</v>
      </c>
      <c r="K186" s="1">
        <v>44964.375</v>
      </c>
      <c r="L186" s="1">
        <v>44992.75</v>
      </c>
      <c r="N186">
        <v>186</v>
      </c>
      <c r="O186" t="s">
        <v>43</v>
      </c>
      <c r="P186">
        <v>1</v>
      </c>
      <c r="Q186" t="s">
        <v>626</v>
      </c>
    </row>
    <row r="187" spans="4:17" x14ac:dyDescent="0.25">
      <c r="E187" t="s">
        <v>491</v>
      </c>
      <c r="I187">
        <v>186</v>
      </c>
      <c r="J187">
        <v>16.666666666666668</v>
      </c>
      <c r="K187" s="1">
        <v>44987.375</v>
      </c>
      <c r="L187" s="1">
        <v>45009.638888888891</v>
      </c>
      <c r="M187">
        <v>185</v>
      </c>
      <c r="O187" t="s">
        <v>414</v>
      </c>
      <c r="P187">
        <v>0.25</v>
      </c>
      <c r="Q187" t="s">
        <v>626</v>
      </c>
    </row>
    <row r="188" spans="4:17" s="2" customFormat="1" x14ac:dyDescent="0.25">
      <c r="D188" s="2" t="s">
        <v>495</v>
      </c>
      <c r="I188" s="2">
        <v>187</v>
      </c>
      <c r="J188" s="2">
        <v>26</v>
      </c>
      <c r="K188" s="3">
        <v>44964.375</v>
      </c>
      <c r="L188" s="3">
        <v>44999.75</v>
      </c>
      <c r="O188" s="2" t="s">
        <v>40</v>
      </c>
      <c r="P188" s="2">
        <v>0.5</v>
      </c>
      <c r="Q188" s="2" t="s">
        <v>626</v>
      </c>
    </row>
    <row r="189" spans="4:17" x14ac:dyDescent="0.25">
      <c r="E189" t="s">
        <v>496</v>
      </c>
      <c r="I189">
        <v>188</v>
      </c>
      <c r="J189">
        <v>26</v>
      </c>
      <c r="K189" s="1">
        <v>44964.375</v>
      </c>
      <c r="L189" s="1">
        <v>44999.75</v>
      </c>
      <c r="N189" t="s">
        <v>497</v>
      </c>
      <c r="O189" t="s">
        <v>45</v>
      </c>
      <c r="P189">
        <v>0.5</v>
      </c>
      <c r="Q189" t="s">
        <v>626</v>
      </c>
    </row>
    <row r="190" spans="4:17" x14ac:dyDescent="0.25">
      <c r="E190" t="s">
        <v>498</v>
      </c>
      <c r="I190">
        <v>189</v>
      </c>
      <c r="J190">
        <v>15</v>
      </c>
      <c r="K190" s="1">
        <v>44964.375</v>
      </c>
      <c r="L190" s="1">
        <v>44984.75</v>
      </c>
      <c r="M190" t="s">
        <v>499</v>
      </c>
      <c r="O190" t="s">
        <v>45</v>
      </c>
      <c r="P190">
        <v>0.5</v>
      </c>
      <c r="Q190" t="s">
        <v>626</v>
      </c>
    </row>
    <row r="191" spans="4:17" s="2" customFormat="1" hidden="1" x14ac:dyDescent="0.25">
      <c r="D191" s="2" t="s">
        <v>500</v>
      </c>
      <c r="I191" s="2">
        <v>190</v>
      </c>
      <c r="J191" s="2">
        <v>75</v>
      </c>
      <c r="K191" s="3">
        <v>44768.375</v>
      </c>
      <c r="L191" s="3">
        <v>44872.75</v>
      </c>
      <c r="P191" s="2">
        <v>1</v>
      </c>
      <c r="Q191" s="2" t="s">
        <v>626</v>
      </c>
    </row>
    <row r="192" spans="4:17" hidden="1" x14ac:dyDescent="0.25">
      <c r="E192" t="s">
        <v>127</v>
      </c>
      <c r="I192">
        <v>191</v>
      </c>
      <c r="J192">
        <v>27</v>
      </c>
      <c r="K192" s="1">
        <v>44768.375</v>
      </c>
      <c r="L192" s="1">
        <v>44804.75</v>
      </c>
      <c r="N192" t="s">
        <v>501</v>
      </c>
      <c r="O192" t="s">
        <v>98</v>
      </c>
      <c r="P192">
        <v>1</v>
      </c>
      <c r="Q192" t="s">
        <v>626</v>
      </c>
    </row>
    <row r="193" spans="1:17" hidden="1" x14ac:dyDescent="0.25">
      <c r="E193" t="s">
        <v>128</v>
      </c>
      <c r="I193">
        <v>192</v>
      </c>
      <c r="J193">
        <v>5</v>
      </c>
      <c r="K193" s="1">
        <v>44837.375</v>
      </c>
      <c r="L193" s="1">
        <v>44841.75</v>
      </c>
      <c r="M193">
        <v>191</v>
      </c>
      <c r="O193" t="s">
        <v>93</v>
      </c>
      <c r="P193">
        <v>1</v>
      </c>
      <c r="Q193" t="s">
        <v>626</v>
      </c>
    </row>
    <row r="194" spans="1:17" hidden="1" x14ac:dyDescent="0.25">
      <c r="E194" t="s">
        <v>129</v>
      </c>
      <c r="I194">
        <v>193</v>
      </c>
      <c r="J194">
        <v>5</v>
      </c>
      <c r="K194" s="1">
        <v>44866.375</v>
      </c>
      <c r="L194" s="1">
        <v>44872.75</v>
      </c>
      <c r="O194" t="s">
        <v>93</v>
      </c>
      <c r="P194">
        <v>1</v>
      </c>
      <c r="Q194" t="s">
        <v>626</v>
      </c>
    </row>
    <row r="195" spans="1:17" hidden="1" x14ac:dyDescent="0.25">
      <c r="E195" t="s">
        <v>130</v>
      </c>
      <c r="I195">
        <v>194</v>
      </c>
      <c r="J195">
        <v>18.75</v>
      </c>
      <c r="K195" s="1">
        <v>44805.375</v>
      </c>
      <c r="L195" s="1">
        <v>44831.666666666664</v>
      </c>
      <c r="M195">
        <v>191</v>
      </c>
      <c r="N195">
        <v>195</v>
      </c>
      <c r="O195" t="s">
        <v>98</v>
      </c>
      <c r="P195">
        <v>1</v>
      </c>
      <c r="Q195" t="s">
        <v>626</v>
      </c>
    </row>
    <row r="196" spans="1:17" hidden="1" x14ac:dyDescent="0.25">
      <c r="D196" t="s">
        <v>131</v>
      </c>
      <c r="I196">
        <v>195</v>
      </c>
      <c r="J196">
        <v>22</v>
      </c>
      <c r="K196" s="1">
        <v>44879.375</v>
      </c>
      <c r="L196" s="1">
        <v>44908.75</v>
      </c>
      <c r="M196">
        <v>194</v>
      </c>
      <c r="N196">
        <v>196</v>
      </c>
      <c r="O196" t="s">
        <v>40</v>
      </c>
      <c r="P196">
        <v>1</v>
      </c>
      <c r="Q196" t="s">
        <v>626</v>
      </c>
    </row>
    <row r="197" spans="1:17" hidden="1" x14ac:dyDescent="0.25">
      <c r="D197" t="s">
        <v>502</v>
      </c>
      <c r="I197">
        <v>196</v>
      </c>
      <c r="J197">
        <v>7</v>
      </c>
      <c r="K197" s="1">
        <v>44909.375</v>
      </c>
      <c r="L197" s="1">
        <v>44917.75</v>
      </c>
      <c r="M197">
        <v>195</v>
      </c>
      <c r="O197" t="s">
        <v>40</v>
      </c>
      <c r="P197">
        <v>1</v>
      </c>
      <c r="Q197" t="s">
        <v>626</v>
      </c>
    </row>
    <row r="198" spans="1:17" s="2" customFormat="1" hidden="1" x14ac:dyDescent="0.25">
      <c r="C198" s="2" t="s">
        <v>503</v>
      </c>
      <c r="I198" s="2">
        <v>197</v>
      </c>
      <c r="J198" s="2">
        <v>26</v>
      </c>
      <c r="K198" s="3">
        <v>44915.375</v>
      </c>
      <c r="L198" s="3">
        <v>44950.75</v>
      </c>
      <c r="O198" s="2" t="s">
        <v>101</v>
      </c>
      <c r="P198" s="2">
        <v>1</v>
      </c>
      <c r="Q198" s="2" t="s">
        <v>626</v>
      </c>
    </row>
    <row r="199" spans="1:17" hidden="1" x14ac:dyDescent="0.25">
      <c r="D199" t="s">
        <v>504</v>
      </c>
      <c r="I199">
        <v>198</v>
      </c>
      <c r="J199">
        <v>26</v>
      </c>
      <c r="K199" s="1">
        <v>44915.375</v>
      </c>
      <c r="L199" s="1">
        <v>44950.75</v>
      </c>
      <c r="O199" t="s">
        <v>101</v>
      </c>
      <c r="P199">
        <v>1</v>
      </c>
      <c r="Q199" t="s">
        <v>626</v>
      </c>
    </row>
    <row r="200" spans="1:17" s="2" customFormat="1" hidden="1" x14ac:dyDescent="0.25">
      <c r="C200" s="2" t="s">
        <v>505</v>
      </c>
      <c r="I200" s="2">
        <v>199</v>
      </c>
      <c r="J200" s="2">
        <v>18</v>
      </c>
      <c r="K200" s="3">
        <v>44768.375</v>
      </c>
      <c r="L200" s="3">
        <v>44791.75</v>
      </c>
      <c r="P200" s="2">
        <v>1</v>
      </c>
      <c r="Q200" s="2" t="s">
        <v>626</v>
      </c>
    </row>
    <row r="201" spans="1:17" hidden="1" x14ac:dyDescent="0.25">
      <c r="D201" t="s">
        <v>133</v>
      </c>
      <c r="I201">
        <v>200</v>
      </c>
      <c r="J201">
        <v>5</v>
      </c>
      <c r="K201" s="1">
        <v>44768.375</v>
      </c>
      <c r="L201" s="1">
        <v>44774.75</v>
      </c>
      <c r="O201" t="s">
        <v>93</v>
      </c>
      <c r="P201">
        <v>1</v>
      </c>
      <c r="Q201" t="s">
        <v>626</v>
      </c>
    </row>
    <row r="202" spans="1:17" hidden="1" x14ac:dyDescent="0.25">
      <c r="D202" t="s">
        <v>134</v>
      </c>
      <c r="I202">
        <v>201</v>
      </c>
      <c r="J202">
        <v>18</v>
      </c>
      <c r="K202" s="1">
        <v>44768.375</v>
      </c>
      <c r="L202" s="1">
        <v>44791.75</v>
      </c>
      <c r="O202" t="s">
        <v>40</v>
      </c>
      <c r="P202">
        <v>1</v>
      </c>
      <c r="Q202" t="s">
        <v>626</v>
      </c>
    </row>
    <row r="203" spans="1:17" hidden="1" x14ac:dyDescent="0.25">
      <c r="C203" t="s">
        <v>135</v>
      </c>
      <c r="I203">
        <v>202</v>
      </c>
      <c r="J203">
        <v>0</v>
      </c>
      <c r="K203" s="1">
        <v>44760.375</v>
      </c>
      <c r="L203" s="1">
        <v>44760.375</v>
      </c>
      <c r="P203">
        <v>1</v>
      </c>
      <c r="Q203" t="s">
        <v>626</v>
      </c>
    </row>
    <row r="204" spans="1:17" s="2" customFormat="1" x14ac:dyDescent="0.25">
      <c r="A204" s="9" t="s">
        <v>630</v>
      </c>
      <c r="B204" s="2" t="s">
        <v>506</v>
      </c>
      <c r="I204" s="2">
        <v>203</v>
      </c>
      <c r="J204" s="2">
        <v>148</v>
      </c>
      <c r="K204" s="3">
        <v>44809.375</v>
      </c>
      <c r="L204" s="3">
        <v>45014.75</v>
      </c>
      <c r="P204" s="2">
        <v>0.81</v>
      </c>
      <c r="Q204" s="2" t="s">
        <v>626</v>
      </c>
    </row>
    <row r="205" spans="1:17" hidden="1" x14ac:dyDescent="0.25">
      <c r="C205" t="s">
        <v>222</v>
      </c>
      <c r="I205">
        <v>204</v>
      </c>
      <c r="J205">
        <v>3</v>
      </c>
      <c r="K205" s="1">
        <v>44838.375</v>
      </c>
      <c r="L205" s="1">
        <v>44840.75</v>
      </c>
      <c r="M205">
        <v>206</v>
      </c>
      <c r="O205" t="s">
        <v>93</v>
      </c>
      <c r="P205">
        <v>1</v>
      </c>
      <c r="Q205" t="s">
        <v>626</v>
      </c>
    </row>
    <row r="206" spans="1:17" s="2" customFormat="1" hidden="1" x14ac:dyDescent="0.25">
      <c r="C206" s="2" t="s">
        <v>507</v>
      </c>
      <c r="I206" s="2">
        <v>205</v>
      </c>
      <c r="J206" s="2">
        <v>112</v>
      </c>
      <c r="K206" s="3">
        <v>44809.375</v>
      </c>
      <c r="L206" s="3">
        <v>44964.75</v>
      </c>
      <c r="P206" s="2">
        <v>1</v>
      </c>
      <c r="Q206" s="2" t="s">
        <v>626</v>
      </c>
    </row>
    <row r="207" spans="1:17" hidden="1" x14ac:dyDescent="0.25">
      <c r="D207" t="s">
        <v>224</v>
      </c>
      <c r="I207">
        <v>206</v>
      </c>
      <c r="J207">
        <v>14</v>
      </c>
      <c r="K207" s="1">
        <v>44809.375</v>
      </c>
      <c r="L207" s="1">
        <v>44826.75</v>
      </c>
      <c r="N207" t="s">
        <v>508</v>
      </c>
      <c r="O207" t="s">
        <v>93</v>
      </c>
      <c r="P207">
        <v>1</v>
      </c>
      <c r="Q207" t="s">
        <v>626</v>
      </c>
    </row>
    <row r="208" spans="1:17" hidden="1" x14ac:dyDescent="0.25">
      <c r="D208" t="s">
        <v>225</v>
      </c>
      <c r="I208">
        <v>207</v>
      </c>
      <c r="J208">
        <v>8</v>
      </c>
      <c r="K208" s="1">
        <v>44827.375</v>
      </c>
      <c r="L208" s="1">
        <v>44838.75</v>
      </c>
      <c r="M208">
        <v>206</v>
      </c>
      <c r="N208" t="s">
        <v>509</v>
      </c>
      <c r="O208" t="s">
        <v>40</v>
      </c>
      <c r="P208">
        <v>1</v>
      </c>
      <c r="Q208" t="s">
        <v>626</v>
      </c>
    </row>
    <row r="209" spans="3:17" hidden="1" x14ac:dyDescent="0.25">
      <c r="D209" t="s">
        <v>226</v>
      </c>
      <c r="I209">
        <v>208</v>
      </c>
      <c r="J209">
        <v>3.75</v>
      </c>
      <c r="K209" s="1">
        <v>44839.375</v>
      </c>
      <c r="L209" s="1">
        <v>44844.666666666664</v>
      </c>
      <c r="M209">
        <v>207</v>
      </c>
      <c r="O209" t="s">
        <v>40</v>
      </c>
      <c r="P209">
        <v>1</v>
      </c>
      <c r="Q209" t="s">
        <v>626</v>
      </c>
    </row>
    <row r="210" spans="3:17" hidden="1" x14ac:dyDescent="0.25">
      <c r="D210" t="s">
        <v>227</v>
      </c>
      <c r="I210">
        <v>209</v>
      </c>
      <c r="J210">
        <v>5</v>
      </c>
      <c r="K210" s="1">
        <v>44839.375</v>
      </c>
      <c r="L210" s="1">
        <v>44845.75</v>
      </c>
      <c r="M210">
        <v>207</v>
      </c>
      <c r="O210" t="s">
        <v>40</v>
      </c>
      <c r="P210">
        <v>1</v>
      </c>
      <c r="Q210" t="s">
        <v>626</v>
      </c>
    </row>
    <row r="211" spans="3:17" hidden="1" x14ac:dyDescent="0.25">
      <c r="D211" t="s">
        <v>228</v>
      </c>
      <c r="I211">
        <v>210</v>
      </c>
      <c r="J211">
        <v>10</v>
      </c>
      <c r="K211" s="1">
        <v>44866.375</v>
      </c>
      <c r="L211" s="1">
        <v>44879.75</v>
      </c>
      <c r="O211" t="s">
        <v>40</v>
      </c>
      <c r="P211">
        <v>1</v>
      </c>
      <c r="Q211" t="s">
        <v>626</v>
      </c>
    </row>
    <row r="212" spans="3:17" hidden="1" x14ac:dyDescent="0.25">
      <c r="D212" t="s">
        <v>510</v>
      </c>
      <c r="I212">
        <v>211</v>
      </c>
      <c r="J212">
        <v>19</v>
      </c>
      <c r="K212" s="1">
        <v>44866.375</v>
      </c>
      <c r="L212" s="1">
        <v>44890.75</v>
      </c>
      <c r="N212">
        <v>17</v>
      </c>
      <c r="O212" t="s">
        <v>40</v>
      </c>
      <c r="P212">
        <v>1</v>
      </c>
      <c r="Q212" t="s">
        <v>626</v>
      </c>
    </row>
    <row r="213" spans="3:17" s="2" customFormat="1" hidden="1" x14ac:dyDescent="0.25">
      <c r="D213" s="2" t="s">
        <v>511</v>
      </c>
      <c r="I213" s="2">
        <v>212</v>
      </c>
      <c r="J213" s="2">
        <v>31</v>
      </c>
      <c r="K213" s="3">
        <v>44922.375</v>
      </c>
      <c r="L213" s="3">
        <v>44964.75</v>
      </c>
      <c r="P213" s="2">
        <v>1</v>
      </c>
      <c r="Q213" s="2" t="s">
        <v>626</v>
      </c>
    </row>
    <row r="214" spans="3:17" hidden="1" x14ac:dyDescent="0.25">
      <c r="E214" t="s">
        <v>466</v>
      </c>
      <c r="I214">
        <v>213</v>
      </c>
      <c r="J214">
        <v>0</v>
      </c>
      <c r="K214" s="1">
        <v>44922.375</v>
      </c>
      <c r="L214" s="1">
        <v>44922.375</v>
      </c>
      <c r="N214" t="s">
        <v>512</v>
      </c>
      <c r="P214">
        <v>1</v>
      </c>
      <c r="Q214" t="s">
        <v>626</v>
      </c>
    </row>
    <row r="215" spans="3:17" hidden="1" x14ac:dyDescent="0.25">
      <c r="E215" t="s">
        <v>23</v>
      </c>
      <c r="I215">
        <v>214</v>
      </c>
      <c r="J215">
        <v>11</v>
      </c>
      <c r="K215" s="1">
        <v>44922.375</v>
      </c>
      <c r="L215" s="1">
        <v>44936.75</v>
      </c>
      <c r="M215">
        <v>213</v>
      </c>
      <c r="O215" t="s">
        <v>40</v>
      </c>
      <c r="P215">
        <v>1</v>
      </c>
      <c r="Q215" t="s">
        <v>626</v>
      </c>
    </row>
    <row r="216" spans="3:17" hidden="1" x14ac:dyDescent="0.25">
      <c r="E216" t="s">
        <v>26</v>
      </c>
      <c r="I216">
        <v>215</v>
      </c>
      <c r="J216">
        <v>13</v>
      </c>
      <c r="K216" s="1">
        <v>44922.375</v>
      </c>
      <c r="L216" s="1">
        <v>44938.75</v>
      </c>
      <c r="M216">
        <v>213</v>
      </c>
      <c r="O216" t="s">
        <v>40</v>
      </c>
      <c r="P216">
        <v>1</v>
      </c>
      <c r="Q216" t="s">
        <v>626</v>
      </c>
    </row>
    <row r="217" spans="3:17" hidden="1" x14ac:dyDescent="0.25">
      <c r="E217" t="s">
        <v>513</v>
      </c>
      <c r="I217">
        <v>216</v>
      </c>
      <c r="J217">
        <v>31</v>
      </c>
      <c r="K217" s="1">
        <v>44922.375</v>
      </c>
      <c r="L217" s="1">
        <v>44964.75</v>
      </c>
      <c r="M217">
        <v>213</v>
      </c>
      <c r="O217" t="s">
        <v>40</v>
      </c>
      <c r="P217">
        <v>1</v>
      </c>
      <c r="Q217" t="s">
        <v>626</v>
      </c>
    </row>
    <row r="218" spans="3:17" s="2" customFormat="1" x14ac:dyDescent="0.25">
      <c r="C218" s="2" t="s">
        <v>514</v>
      </c>
      <c r="I218" s="2">
        <v>217</v>
      </c>
      <c r="J218" s="2">
        <v>36</v>
      </c>
      <c r="K218" s="3">
        <v>44950.375</v>
      </c>
      <c r="L218" s="3">
        <v>44999.75</v>
      </c>
      <c r="N218" s="2">
        <v>137</v>
      </c>
      <c r="P218" s="2">
        <v>0.55000000000000004</v>
      </c>
      <c r="Q218" s="2" t="s">
        <v>626</v>
      </c>
    </row>
    <row r="219" spans="3:17" s="2" customFormat="1" x14ac:dyDescent="0.25">
      <c r="D219" s="2" t="s">
        <v>515</v>
      </c>
      <c r="I219" s="2">
        <v>218</v>
      </c>
      <c r="J219" s="2">
        <v>36</v>
      </c>
      <c r="K219" s="3">
        <v>44950.375</v>
      </c>
      <c r="L219" s="3">
        <v>44999.75</v>
      </c>
      <c r="N219" s="2">
        <v>88</v>
      </c>
      <c r="O219" s="2" t="s">
        <v>43</v>
      </c>
      <c r="P219" s="2">
        <v>0.55000000000000004</v>
      </c>
      <c r="Q219" s="2" t="s">
        <v>626</v>
      </c>
    </row>
    <row r="220" spans="3:17" hidden="1" x14ac:dyDescent="0.25">
      <c r="E220" t="s">
        <v>516</v>
      </c>
      <c r="I220">
        <v>219</v>
      </c>
      <c r="J220">
        <v>5</v>
      </c>
      <c r="K220" s="1">
        <v>44950.375</v>
      </c>
      <c r="L220" s="1">
        <v>44956.75</v>
      </c>
      <c r="O220" t="s">
        <v>43</v>
      </c>
      <c r="P220">
        <v>1</v>
      </c>
      <c r="Q220" t="s">
        <v>626</v>
      </c>
    </row>
    <row r="221" spans="3:17" hidden="1" x14ac:dyDescent="0.25">
      <c r="E221" t="s">
        <v>517</v>
      </c>
      <c r="I221">
        <v>220</v>
      </c>
      <c r="J221">
        <v>5</v>
      </c>
      <c r="K221" s="1">
        <v>44950.375</v>
      </c>
      <c r="L221" s="1">
        <v>44956.75</v>
      </c>
      <c r="O221" t="s">
        <v>43</v>
      </c>
      <c r="P221">
        <v>1</v>
      </c>
      <c r="Q221" t="s">
        <v>626</v>
      </c>
    </row>
    <row r="222" spans="3:17" hidden="1" x14ac:dyDescent="0.25">
      <c r="E222" t="s">
        <v>518</v>
      </c>
      <c r="I222">
        <v>221</v>
      </c>
      <c r="J222">
        <v>5</v>
      </c>
      <c r="K222" s="1">
        <v>44950.375</v>
      </c>
      <c r="L222" s="1">
        <v>44956.75</v>
      </c>
      <c r="O222" t="s">
        <v>43</v>
      </c>
      <c r="P222">
        <v>1</v>
      </c>
      <c r="Q222" t="s">
        <v>626</v>
      </c>
    </row>
    <row r="223" spans="3:17" x14ac:dyDescent="0.25">
      <c r="E223" t="s">
        <v>519</v>
      </c>
      <c r="I223">
        <v>222</v>
      </c>
      <c r="J223">
        <v>26</v>
      </c>
      <c r="K223" s="1">
        <v>44964.375</v>
      </c>
      <c r="L223" s="1">
        <v>44999.75</v>
      </c>
      <c r="O223" t="s">
        <v>43</v>
      </c>
      <c r="P223">
        <v>0.5</v>
      </c>
      <c r="Q223" t="s">
        <v>626</v>
      </c>
    </row>
    <row r="224" spans="3:17" x14ac:dyDescent="0.25">
      <c r="E224" t="s">
        <v>520</v>
      </c>
      <c r="I224">
        <v>223</v>
      </c>
      <c r="J224">
        <v>10</v>
      </c>
      <c r="K224" s="1">
        <v>44978.375</v>
      </c>
      <c r="L224" s="1">
        <v>44991.75</v>
      </c>
      <c r="O224" t="s">
        <v>43</v>
      </c>
      <c r="P224">
        <v>0</v>
      </c>
      <c r="Q224" t="s">
        <v>626</v>
      </c>
    </row>
    <row r="225" spans="3:17" s="2" customFormat="1" x14ac:dyDescent="0.25">
      <c r="D225" s="2" t="s">
        <v>521</v>
      </c>
      <c r="I225" s="2">
        <v>224</v>
      </c>
      <c r="J225" s="2">
        <v>36</v>
      </c>
      <c r="K225" s="3">
        <v>44950.375</v>
      </c>
      <c r="L225" s="3">
        <v>44999.75</v>
      </c>
      <c r="N225" s="2">
        <v>86</v>
      </c>
      <c r="O225" s="2" t="s">
        <v>59</v>
      </c>
      <c r="P225" s="2">
        <v>0.55000000000000004</v>
      </c>
      <c r="Q225" s="2" t="s">
        <v>626</v>
      </c>
    </row>
    <row r="226" spans="3:17" hidden="1" x14ac:dyDescent="0.25">
      <c r="E226" t="s">
        <v>516</v>
      </c>
      <c r="I226">
        <v>225</v>
      </c>
      <c r="J226">
        <v>5</v>
      </c>
      <c r="K226" s="1">
        <v>44950.375</v>
      </c>
      <c r="L226" s="1">
        <v>44956.75</v>
      </c>
      <c r="O226" t="s">
        <v>59</v>
      </c>
      <c r="P226">
        <v>1</v>
      </c>
      <c r="Q226" t="s">
        <v>626</v>
      </c>
    </row>
    <row r="227" spans="3:17" hidden="1" x14ac:dyDescent="0.25">
      <c r="E227" t="s">
        <v>517</v>
      </c>
      <c r="I227">
        <v>226</v>
      </c>
      <c r="J227">
        <v>5</v>
      </c>
      <c r="K227" s="1">
        <v>44950.375</v>
      </c>
      <c r="L227" s="1">
        <v>44956.75</v>
      </c>
      <c r="O227" t="s">
        <v>59</v>
      </c>
      <c r="P227">
        <v>1</v>
      </c>
      <c r="Q227" t="s">
        <v>626</v>
      </c>
    </row>
    <row r="228" spans="3:17" hidden="1" x14ac:dyDescent="0.25">
      <c r="E228" t="s">
        <v>518</v>
      </c>
      <c r="I228">
        <v>227</v>
      </c>
      <c r="J228">
        <v>5</v>
      </c>
      <c r="K228" s="1">
        <v>44950.375</v>
      </c>
      <c r="L228" s="1">
        <v>44956.75</v>
      </c>
      <c r="O228" t="s">
        <v>59</v>
      </c>
      <c r="P228">
        <v>1</v>
      </c>
      <c r="Q228" t="s">
        <v>626</v>
      </c>
    </row>
    <row r="229" spans="3:17" x14ac:dyDescent="0.25">
      <c r="E229" t="s">
        <v>519</v>
      </c>
      <c r="I229">
        <v>228</v>
      </c>
      <c r="J229">
        <v>26</v>
      </c>
      <c r="K229" s="1">
        <v>44964.375</v>
      </c>
      <c r="L229" s="1">
        <v>44999.75</v>
      </c>
      <c r="O229" t="s">
        <v>59</v>
      </c>
      <c r="P229">
        <v>0.5</v>
      </c>
      <c r="Q229" t="s">
        <v>626</v>
      </c>
    </row>
    <row r="230" spans="3:17" x14ac:dyDescent="0.25">
      <c r="E230" t="s">
        <v>520</v>
      </c>
      <c r="I230">
        <v>229</v>
      </c>
      <c r="J230">
        <v>10</v>
      </c>
      <c r="K230" s="1">
        <v>44978.375</v>
      </c>
      <c r="L230" s="1">
        <v>44991.75</v>
      </c>
      <c r="O230" t="s">
        <v>59</v>
      </c>
      <c r="P230">
        <v>0</v>
      </c>
      <c r="Q230" t="s">
        <v>626</v>
      </c>
    </row>
    <row r="231" spans="3:17" s="2" customFormat="1" x14ac:dyDescent="0.25">
      <c r="C231" s="2" t="s">
        <v>522</v>
      </c>
      <c r="I231" s="2">
        <v>230</v>
      </c>
      <c r="J231" s="2">
        <v>97</v>
      </c>
      <c r="K231" s="3">
        <v>44879.375</v>
      </c>
      <c r="L231" s="3">
        <v>45013.75</v>
      </c>
      <c r="P231" s="2">
        <v>0.45</v>
      </c>
      <c r="Q231" s="2" t="s">
        <v>626</v>
      </c>
    </row>
    <row r="232" spans="3:17" hidden="1" x14ac:dyDescent="0.25">
      <c r="D232" t="s">
        <v>523</v>
      </c>
      <c r="I232">
        <v>231</v>
      </c>
      <c r="J232">
        <v>20</v>
      </c>
      <c r="K232" s="1">
        <v>44879.375</v>
      </c>
      <c r="L232" s="1">
        <v>44904.75</v>
      </c>
      <c r="O232" t="s">
        <v>40</v>
      </c>
      <c r="P232">
        <v>1</v>
      </c>
      <c r="Q232" t="s">
        <v>626</v>
      </c>
    </row>
    <row r="233" spans="3:17" s="2" customFormat="1" x14ac:dyDescent="0.25">
      <c r="D233" s="2" t="s">
        <v>524</v>
      </c>
      <c r="I233" s="2">
        <v>232</v>
      </c>
      <c r="J233" s="2">
        <v>57</v>
      </c>
      <c r="K233" s="3">
        <v>44935.375</v>
      </c>
      <c r="L233" s="3">
        <v>45013.75</v>
      </c>
      <c r="O233" s="2" t="s">
        <v>40</v>
      </c>
      <c r="P233" s="2">
        <v>0.35</v>
      </c>
      <c r="Q233" s="2" t="s">
        <v>626</v>
      </c>
    </row>
    <row r="234" spans="3:17" hidden="1" x14ac:dyDescent="0.25">
      <c r="E234" t="s">
        <v>466</v>
      </c>
      <c r="I234">
        <v>233</v>
      </c>
      <c r="J234">
        <v>0</v>
      </c>
      <c r="K234" s="1">
        <v>44935.375</v>
      </c>
      <c r="L234" s="1">
        <v>44935.375</v>
      </c>
      <c r="N234" t="s">
        <v>525</v>
      </c>
      <c r="O234" t="s">
        <v>40</v>
      </c>
      <c r="P234">
        <v>1</v>
      </c>
      <c r="Q234" t="s">
        <v>626</v>
      </c>
    </row>
    <row r="235" spans="3:17" hidden="1" x14ac:dyDescent="0.25">
      <c r="E235" t="s">
        <v>526</v>
      </c>
      <c r="I235">
        <v>234</v>
      </c>
      <c r="J235">
        <v>15</v>
      </c>
      <c r="K235" s="1">
        <v>44935.375</v>
      </c>
      <c r="L235" s="1">
        <v>44953.75</v>
      </c>
      <c r="M235">
        <v>233</v>
      </c>
      <c r="N235" t="s">
        <v>527</v>
      </c>
      <c r="O235" t="s">
        <v>45</v>
      </c>
      <c r="P235">
        <v>1</v>
      </c>
      <c r="Q235" t="s">
        <v>626</v>
      </c>
    </row>
    <row r="236" spans="3:17" x14ac:dyDescent="0.25">
      <c r="E236" t="s">
        <v>528</v>
      </c>
      <c r="I236">
        <v>235</v>
      </c>
      <c r="J236">
        <v>10</v>
      </c>
      <c r="K236" s="1">
        <v>44978.375</v>
      </c>
      <c r="L236" s="1">
        <v>44991.75</v>
      </c>
      <c r="M236">
        <v>234</v>
      </c>
      <c r="N236">
        <v>236</v>
      </c>
      <c r="O236" t="s">
        <v>45</v>
      </c>
      <c r="P236">
        <v>0</v>
      </c>
      <c r="Q236" t="s">
        <v>626</v>
      </c>
    </row>
    <row r="237" spans="3:17" x14ac:dyDescent="0.25">
      <c r="E237" t="s">
        <v>529</v>
      </c>
      <c r="I237">
        <v>236</v>
      </c>
      <c r="J237">
        <v>3</v>
      </c>
      <c r="K237" s="1">
        <v>44992.375</v>
      </c>
      <c r="L237" s="1">
        <v>44994.75</v>
      </c>
      <c r="M237">
        <v>235</v>
      </c>
      <c r="O237" t="s">
        <v>40</v>
      </c>
      <c r="P237">
        <v>0</v>
      </c>
      <c r="Q237" t="s">
        <v>626</v>
      </c>
    </row>
    <row r="238" spans="3:17" x14ac:dyDescent="0.25">
      <c r="E238" t="s">
        <v>530</v>
      </c>
      <c r="I238">
        <v>237</v>
      </c>
      <c r="J238">
        <v>26</v>
      </c>
      <c r="K238" s="1">
        <v>44964.375</v>
      </c>
      <c r="L238" s="1">
        <v>44999.75</v>
      </c>
      <c r="O238" t="s">
        <v>45</v>
      </c>
      <c r="P238">
        <v>0.25</v>
      </c>
      <c r="Q238" t="s">
        <v>626</v>
      </c>
    </row>
    <row r="239" spans="3:17" x14ac:dyDescent="0.25">
      <c r="E239" t="s">
        <v>531</v>
      </c>
      <c r="I239">
        <v>238</v>
      </c>
      <c r="J239">
        <v>26</v>
      </c>
      <c r="K239" s="1">
        <v>44964.375</v>
      </c>
      <c r="L239" s="1">
        <v>44999.75</v>
      </c>
      <c r="N239">
        <v>241</v>
      </c>
      <c r="O239" t="s">
        <v>45</v>
      </c>
      <c r="P239">
        <v>0.25</v>
      </c>
      <c r="Q239" t="s">
        <v>626</v>
      </c>
    </row>
    <row r="240" spans="3:17" hidden="1" x14ac:dyDescent="0.25">
      <c r="E240" t="s">
        <v>532</v>
      </c>
      <c r="I240">
        <v>239</v>
      </c>
      <c r="J240">
        <v>10</v>
      </c>
      <c r="K240" s="1">
        <v>44956.375</v>
      </c>
      <c r="L240" s="1">
        <v>44967.75</v>
      </c>
      <c r="M240" t="s">
        <v>533</v>
      </c>
      <c r="N240">
        <v>240</v>
      </c>
      <c r="O240" t="s">
        <v>54</v>
      </c>
      <c r="P240">
        <v>1</v>
      </c>
      <c r="Q240" t="s">
        <v>626</v>
      </c>
    </row>
    <row r="241" spans="3:17" x14ac:dyDescent="0.25">
      <c r="E241" t="s">
        <v>534</v>
      </c>
      <c r="I241">
        <v>240</v>
      </c>
      <c r="J241">
        <v>10</v>
      </c>
      <c r="K241" s="1">
        <v>44986.375</v>
      </c>
      <c r="L241" s="1">
        <v>44999.75</v>
      </c>
      <c r="M241" t="s">
        <v>525</v>
      </c>
      <c r="N241">
        <v>241</v>
      </c>
      <c r="O241" t="s">
        <v>54</v>
      </c>
      <c r="P241">
        <v>0</v>
      </c>
      <c r="Q241" t="s">
        <v>626</v>
      </c>
    </row>
    <row r="242" spans="3:17" x14ac:dyDescent="0.25">
      <c r="E242" t="s">
        <v>535</v>
      </c>
      <c r="I242">
        <v>241</v>
      </c>
      <c r="J242">
        <v>10</v>
      </c>
      <c r="K242" s="1">
        <v>45000.375</v>
      </c>
      <c r="L242" s="1">
        <v>45013.75</v>
      </c>
      <c r="M242" t="s">
        <v>536</v>
      </c>
      <c r="O242" t="s">
        <v>45</v>
      </c>
      <c r="P242">
        <v>0</v>
      </c>
      <c r="Q242" t="s">
        <v>626</v>
      </c>
    </row>
    <row r="243" spans="3:17" s="2" customFormat="1" x14ac:dyDescent="0.25">
      <c r="C243" s="2" t="s">
        <v>232</v>
      </c>
      <c r="I243" s="2">
        <v>242</v>
      </c>
      <c r="J243" s="2">
        <v>115</v>
      </c>
      <c r="K243" s="3">
        <v>44839.375</v>
      </c>
      <c r="L243" s="3">
        <v>44999.75</v>
      </c>
      <c r="M243" s="2">
        <v>207</v>
      </c>
      <c r="N243" s="2">
        <v>27</v>
      </c>
      <c r="O243" s="2" t="s">
        <v>43</v>
      </c>
      <c r="P243" s="2">
        <v>0.91</v>
      </c>
      <c r="Q243" s="2" t="s">
        <v>626</v>
      </c>
    </row>
    <row r="244" spans="3:17" hidden="1" x14ac:dyDescent="0.25">
      <c r="D244" t="s">
        <v>39</v>
      </c>
      <c r="I244">
        <v>243</v>
      </c>
      <c r="J244">
        <v>5</v>
      </c>
      <c r="K244" s="1">
        <v>44839.375</v>
      </c>
      <c r="L244" s="1">
        <v>44845.75</v>
      </c>
      <c r="O244" t="s">
        <v>40</v>
      </c>
      <c r="P244">
        <v>1</v>
      </c>
      <c r="Q244" t="s">
        <v>626</v>
      </c>
    </row>
    <row r="245" spans="3:17" hidden="1" x14ac:dyDescent="0.25">
      <c r="D245" t="s">
        <v>233</v>
      </c>
      <c r="I245">
        <v>244</v>
      </c>
      <c r="J245">
        <v>5</v>
      </c>
      <c r="K245" s="1">
        <v>44839.375</v>
      </c>
      <c r="L245" s="1">
        <v>44845.75</v>
      </c>
      <c r="M245">
        <v>207</v>
      </c>
      <c r="O245" t="s">
        <v>45</v>
      </c>
      <c r="P245">
        <v>1</v>
      </c>
      <c r="Q245" t="s">
        <v>626</v>
      </c>
    </row>
    <row r="246" spans="3:17" hidden="1" x14ac:dyDescent="0.25">
      <c r="D246" t="s">
        <v>41</v>
      </c>
      <c r="I246">
        <v>245</v>
      </c>
      <c r="J246">
        <v>5</v>
      </c>
      <c r="K246" s="1">
        <v>44845.375</v>
      </c>
      <c r="L246" s="1">
        <v>44851.75</v>
      </c>
      <c r="N246">
        <v>246</v>
      </c>
      <c r="O246" t="s">
        <v>40</v>
      </c>
      <c r="P246">
        <v>1</v>
      </c>
      <c r="Q246" t="s">
        <v>626</v>
      </c>
    </row>
    <row r="247" spans="3:17" hidden="1" x14ac:dyDescent="0.25">
      <c r="D247" t="s">
        <v>47</v>
      </c>
      <c r="I247">
        <v>246</v>
      </c>
      <c r="J247">
        <v>5</v>
      </c>
      <c r="K247" s="1">
        <v>44873.375</v>
      </c>
      <c r="L247" s="1">
        <v>44879.75</v>
      </c>
      <c r="M247">
        <v>245</v>
      </c>
      <c r="O247" t="s">
        <v>40</v>
      </c>
      <c r="P247">
        <v>1</v>
      </c>
      <c r="Q247" t="s">
        <v>626</v>
      </c>
    </row>
    <row r="248" spans="3:17" hidden="1" x14ac:dyDescent="0.25">
      <c r="D248" t="s">
        <v>50</v>
      </c>
      <c r="I248">
        <v>247</v>
      </c>
      <c r="J248">
        <v>29</v>
      </c>
      <c r="K248" s="1">
        <v>44844.375</v>
      </c>
      <c r="L248" s="1">
        <v>44882.75</v>
      </c>
      <c r="N248">
        <v>248</v>
      </c>
      <c r="O248" t="s">
        <v>51</v>
      </c>
      <c r="P248">
        <v>1</v>
      </c>
      <c r="Q248" t="s">
        <v>626</v>
      </c>
    </row>
    <row r="249" spans="3:17" hidden="1" x14ac:dyDescent="0.25">
      <c r="D249" t="s">
        <v>52</v>
      </c>
      <c r="I249">
        <v>248</v>
      </c>
      <c r="J249">
        <v>3</v>
      </c>
      <c r="K249" s="1">
        <v>44839.375</v>
      </c>
      <c r="L249" s="1">
        <v>44882.458333333336</v>
      </c>
      <c r="M249">
        <v>247</v>
      </c>
      <c r="O249" t="s">
        <v>51</v>
      </c>
      <c r="P249">
        <v>1</v>
      </c>
      <c r="Q249" t="s">
        <v>626</v>
      </c>
    </row>
    <row r="250" spans="3:17" hidden="1" x14ac:dyDescent="0.25">
      <c r="D250" t="s">
        <v>234</v>
      </c>
      <c r="I250">
        <v>249</v>
      </c>
      <c r="J250">
        <v>20</v>
      </c>
      <c r="K250" s="1">
        <v>44866.375</v>
      </c>
      <c r="L250" s="1">
        <v>44893.75</v>
      </c>
      <c r="M250">
        <v>207</v>
      </c>
      <c r="N250" t="s">
        <v>537</v>
      </c>
      <c r="O250" t="s">
        <v>43</v>
      </c>
      <c r="P250">
        <v>1</v>
      </c>
      <c r="Q250" t="s">
        <v>626</v>
      </c>
    </row>
    <row r="251" spans="3:17" hidden="1" x14ac:dyDescent="0.25">
      <c r="D251" t="s">
        <v>538</v>
      </c>
      <c r="I251">
        <v>250</v>
      </c>
      <c r="J251">
        <v>15</v>
      </c>
      <c r="K251" s="1">
        <v>44901.375</v>
      </c>
      <c r="L251" s="1">
        <v>44921.75</v>
      </c>
      <c r="M251">
        <v>249</v>
      </c>
      <c r="P251">
        <v>1</v>
      </c>
      <c r="Q251" t="s">
        <v>628</v>
      </c>
    </row>
    <row r="252" spans="3:17" hidden="1" x14ac:dyDescent="0.25">
      <c r="D252" t="s">
        <v>538</v>
      </c>
      <c r="I252">
        <v>251</v>
      </c>
      <c r="J252">
        <v>15</v>
      </c>
      <c r="K252" s="1">
        <v>44901.375</v>
      </c>
      <c r="L252" s="1">
        <v>44921.75</v>
      </c>
      <c r="M252">
        <v>249</v>
      </c>
      <c r="P252">
        <v>1</v>
      </c>
      <c r="Q252" t="s">
        <v>627</v>
      </c>
    </row>
    <row r="253" spans="3:17" hidden="1" x14ac:dyDescent="0.25">
      <c r="D253" t="s">
        <v>42</v>
      </c>
      <c r="I253">
        <v>252</v>
      </c>
      <c r="J253">
        <v>5</v>
      </c>
      <c r="K253" s="1">
        <v>44879.375</v>
      </c>
      <c r="L253" s="1">
        <v>44883.75</v>
      </c>
      <c r="O253" t="s">
        <v>43</v>
      </c>
      <c r="P253">
        <v>1</v>
      </c>
      <c r="Q253" t="s">
        <v>626</v>
      </c>
    </row>
    <row r="254" spans="3:17" hidden="1" x14ac:dyDescent="0.25">
      <c r="D254" t="s">
        <v>46</v>
      </c>
      <c r="I254">
        <v>253</v>
      </c>
      <c r="J254">
        <v>5</v>
      </c>
      <c r="K254" s="1">
        <v>44879.375</v>
      </c>
      <c r="L254" s="1">
        <v>44883.75</v>
      </c>
      <c r="O254" t="s">
        <v>43</v>
      </c>
      <c r="P254">
        <v>1</v>
      </c>
      <c r="Q254" t="s">
        <v>626</v>
      </c>
    </row>
    <row r="255" spans="3:17" hidden="1" x14ac:dyDescent="0.25">
      <c r="D255" t="s">
        <v>48</v>
      </c>
      <c r="I255">
        <v>254</v>
      </c>
      <c r="J255">
        <v>16</v>
      </c>
      <c r="K255" s="1">
        <v>44872.375</v>
      </c>
      <c r="L255" s="1">
        <v>44893.75</v>
      </c>
      <c r="O255" t="s">
        <v>40</v>
      </c>
      <c r="P255">
        <v>1</v>
      </c>
      <c r="Q255" t="s">
        <v>626</v>
      </c>
    </row>
    <row r="256" spans="3:17" hidden="1" x14ac:dyDescent="0.25">
      <c r="D256" t="s">
        <v>539</v>
      </c>
      <c r="I256">
        <v>255</v>
      </c>
      <c r="J256">
        <v>16</v>
      </c>
      <c r="K256" s="1">
        <v>44872.375</v>
      </c>
      <c r="L256" s="1">
        <v>44893.75</v>
      </c>
      <c r="N256" t="s">
        <v>540</v>
      </c>
      <c r="O256" t="s">
        <v>235</v>
      </c>
      <c r="P256">
        <v>1</v>
      </c>
      <c r="Q256" t="s">
        <v>626</v>
      </c>
    </row>
    <row r="257" spans="3:17" hidden="1" x14ac:dyDescent="0.25">
      <c r="D257" t="s">
        <v>541</v>
      </c>
      <c r="I257">
        <v>256</v>
      </c>
      <c r="J257">
        <v>15</v>
      </c>
      <c r="K257" s="1">
        <v>44936.375</v>
      </c>
      <c r="L257" s="1">
        <v>44956.75</v>
      </c>
      <c r="M257">
        <v>255</v>
      </c>
      <c r="P257">
        <v>1</v>
      </c>
      <c r="Q257" t="s">
        <v>628</v>
      </c>
    </row>
    <row r="258" spans="3:17" hidden="1" x14ac:dyDescent="0.25">
      <c r="D258" t="s">
        <v>542</v>
      </c>
      <c r="I258">
        <v>257</v>
      </c>
      <c r="J258">
        <v>20</v>
      </c>
      <c r="K258" s="1">
        <v>44901.375</v>
      </c>
      <c r="L258" s="1">
        <v>44935.75</v>
      </c>
      <c r="M258">
        <v>255</v>
      </c>
      <c r="P258">
        <v>1</v>
      </c>
      <c r="Q258" t="s">
        <v>628</v>
      </c>
    </row>
    <row r="259" spans="3:17" hidden="1" x14ac:dyDescent="0.25">
      <c r="D259" t="s">
        <v>541</v>
      </c>
      <c r="I259">
        <v>258</v>
      </c>
      <c r="J259">
        <v>15</v>
      </c>
      <c r="K259" s="1">
        <v>44936.375</v>
      </c>
      <c r="L259" s="1">
        <v>44956.75</v>
      </c>
      <c r="M259">
        <v>255</v>
      </c>
      <c r="P259">
        <v>1</v>
      </c>
      <c r="Q259" t="s">
        <v>627</v>
      </c>
    </row>
    <row r="260" spans="3:17" hidden="1" x14ac:dyDescent="0.25">
      <c r="D260" t="s">
        <v>542</v>
      </c>
      <c r="I260">
        <v>259</v>
      </c>
      <c r="J260">
        <v>20</v>
      </c>
      <c r="K260" s="1">
        <v>44901.375</v>
      </c>
      <c r="L260" s="1">
        <v>44935.75</v>
      </c>
      <c r="M260">
        <v>255</v>
      </c>
      <c r="P260">
        <v>1</v>
      </c>
      <c r="Q260" t="s">
        <v>627</v>
      </c>
    </row>
    <row r="261" spans="3:17" hidden="1" x14ac:dyDescent="0.25">
      <c r="D261" t="s">
        <v>53</v>
      </c>
      <c r="I261">
        <v>260</v>
      </c>
      <c r="J261">
        <v>25</v>
      </c>
      <c r="K261" s="1">
        <v>44872.375</v>
      </c>
      <c r="L261" s="1">
        <v>44904.75</v>
      </c>
      <c r="N261" t="s">
        <v>543</v>
      </c>
      <c r="O261" t="s">
        <v>237</v>
      </c>
      <c r="P261">
        <v>1</v>
      </c>
      <c r="Q261" t="s">
        <v>626</v>
      </c>
    </row>
    <row r="262" spans="3:17" hidden="1" x14ac:dyDescent="0.25">
      <c r="D262" t="s">
        <v>55</v>
      </c>
      <c r="I262">
        <v>261</v>
      </c>
      <c r="J262">
        <v>20</v>
      </c>
      <c r="K262" s="1">
        <v>44879.375</v>
      </c>
      <c r="L262" s="1">
        <v>44904.75</v>
      </c>
      <c r="M262" t="s">
        <v>544</v>
      </c>
      <c r="N262">
        <v>263</v>
      </c>
      <c r="O262" t="s">
        <v>237</v>
      </c>
      <c r="P262">
        <v>1</v>
      </c>
      <c r="Q262" t="s">
        <v>626</v>
      </c>
    </row>
    <row r="263" spans="3:17" hidden="1" x14ac:dyDescent="0.25">
      <c r="D263" t="s">
        <v>545</v>
      </c>
      <c r="I263">
        <v>262</v>
      </c>
      <c r="J263">
        <v>1.5</v>
      </c>
      <c r="K263" s="1">
        <v>44924.375</v>
      </c>
      <c r="L263" s="1">
        <v>44925.541666666664</v>
      </c>
      <c r="O263" t="s">
        <v>237</v>
      </c>
      <c r="P263">
        <v>1</v>
      </c>
      <c r="Q263" t="s">
        <v>626</v>
      </c>
    </row>
    <row r="264" spans="3:17" hidden="1" x14ac:dyDescent="0.25">
      <c r="D264" t="s">
        <v>546</v>
      </c>
      <c r="I264">
        <v>263</v>
      </c>
      <c r="J264">
        <v>24</v>
      </c>
      <c r="K264" s="1">
        <v>44907.375</v>
      </c>
      <c r="L264" s="1">
        <v>44938.75</v>
      </c>
      <c r="M264">
        <v>261</v>
      </c>
      <c r="N264">
        <v>60</v>
      </c>
      <c r="O264" t="s">
        <v>237</v>
      </c>
      <c r="P264">
        <v>1</v>
      </c>
      <c r="Q264" t="s">
        <v>626</v>
      </c>
    </row>
    <row r="265" spans="3:17" x14ac:dyDescent="0.25">
      <c r="D265" t="s">
        <v>547</v>
      </c>
      <c r="I265">
        <v>264</v>
      </c>
      <c r="J265">
        <v>24.5</v>
      </c>
      <c r="K265" s="1">
        <v>44965.583333333336</v>
      </c>
      <c r="L265" s="1">
        <v>44999.75</v>
      </c>
      <c r="O265" t="s">
        <v>51</v>
      </c>
      <c r="P265">
        <v>0.25</v>
      </c>
      <c r="Q265" t="s">
        <v>626</v>
      </c>
    </row>
    <row r="266" spans="3:17" s="2" customFormat="1" x14ac:dyDescent="0.25">
      <c r="C266" s="2" t="s">
        <v>238</v>
      </c>
      <c r="I266" s="2">
        <v>265</v>
      </c>
      <c r="J266" s="2">
        <v>145</v>
      </c>
      <c r="K266" s="3">
        <v>44812.375</v>
      </c>
      <c r="L266" s="3">
        <v>45014.75</v>
      </c>
      <c r="N266" s="2">
        <v>62</v>
      </c>
      <c r="P266" s="2">
        <v>0.9</v>
      </c>
      <c r="Q266" s="2" t="s">
        <v>626</v>
      </c>
    </row>
    <row r="267" spans="3:17" hidden="1" x14ac:dyDescent="0.25">
      <c r="D267" t="s">
        <v>239</v>
      </c>
      <c r="I267">
        <v>266</v>
      </c>
      <c r="J267">
        <v>10</v>
      </c>
      <c r="K267" s="1">
        <v>44812.375</v>
      </c>
      <c r="L267" s="1">
        <v>44825.75</v>
      </c>
      <c r="N267" t="s">
        <v>548</v>
      </c>
      <c r="O267" t="s">
        <v>51</v>
      </c>
      <c r="P267">
        <v>1</v>
      </c>
      <c r="Q267" t="s">
        <v>626</v>
      </c>
    </row>
    <row r="268" spans="3:17" s="2" customFormat="1" x14ac:dyDescent="0.25">
      <c r="D268" s="2" t="s">
        <v>240</v>
      </c>
      <c r="I268" s="2">
        <v>267</v>
      </c>
      <c r="J268" s="2">
        <v>133</v>
      </c>
      <c r="K268" s="3">
        <v>44830.375</v>
      </c>
      <c r="L268" s="3">
        <v>45014.75</v>
      </c>
      <c r="M268" s="2">
        <v>266</v>
      </c>
      <c r="O268" s="2" t="s">
        <v>51</v>
      </c>
      <c r="P268" s="2">
        <v>0.9</v>
      </c>
      <c r="Q268" s="2" t="s">
        <v>626</v>
      </c>
    </row>
    <row r="269" spans="3:17" hidden="1" x14ac:dyDescent="0.25">
      <c r="E269" t="s">
        <v>241</v>
      </c>
      <c r="I269">
        <v>268</v>
      </c>
      <c r="J269">
        <v>5</v>
      </c>
      <c r="K269" s="1">
        <v>44838.375</v>
      </c>
      <c r="L269" s="1">
        <v>44844.75</v>
      </c>
      <c r="M269">
        <v>266</v>
      </c>
      <c r="O269" t="s">
        <v>51</v>
      </c>
      <c r="P269">
        <v>1</v>
      </c>
      <c r="Q269" t="s">
        <v>626</v>
      </c>
    </row>
    <row r="270" spans="3:17" hidden="1" x14ac:dyDescent="0.25">
      <c r="E270" t="s">
        <v>62</v>
      </c>
      <c r="I270">
        <v>269</v>
      </c>
      <c r="J270">
        <v>27</v>
      </c>
      <c r="K270" s="1">
        <v>44830.375</v>
      </c>
      <c r="L270" s="1">
        <v>44866.75</v>
      </c>
      <c r="O270" t="s">
        <v>51</v>
      </c>
      <c r="P270">
        <v>1</v>
      </c>
      <c r="Q270" t="s">
        <v>626</v>
      </c>
    </row>
    <row r="271" spans="3:17" hidden="1" x14ac:dyDescent="0.25">
      <c r="E271" t="s">
        <v>60</v>
      </c>
      <c r="I271">
        <v>270</v>
      </c>
      <c r="J271">
        <v>21</v>
      </c>
      <c r="K271" s="1">
        <v>44852.375</v>
      </c>
      <c r="L271" s="1">
        <v>44880.75</v>
      </c>
      <c r="O271" t="s">
        <v>51</v>
      </c>
      <c r="P271">
        <v>1</v>
      </c>
      <c r="Q271" t="s">
        <v>626</v>
      </c>
    </row>
    <row r="272" spans="3:17" hidden="1" x14ac:dyDescent="0.25">
      <c r="E272" t="s">
        <v>67</v>
      </c>
      <c r="I272">
        <v>271</v>
      </c>
      <c r="J272">
        <v>10</v>
      </c>
      <c r="K272" s="1">
        <v>44865.375</v>
      </c>
      <c r="L272" s="1">
        <v>44876.75</v>
      </c>
      <c r="O272" t="s">
        <v>51</v>
      </c>
      <c r="P272">
        <v>1</v>
      </c>
      <c r="Q272" t="s">
        <v>626</v>
      </c>
    </row>
    <row r="273" spans="2:17" hidden="1" x14ac:dyDescent="0.25">
      <c r="E273" t="s">
        <v>242</v>
      </c>
      <c r="I273">
        <v>272</v>
      </c>
      <c r="J273">
        <v>5</v>
      </c>
      <c r="K273" s="1">
        <v>44839.375</v>
      </c>
      <c r="L273" s="1">
        <v>44845.75</v>
      </c>
      <c r="M273">
        <v>207</v>
      </c>
      <c r="O273" t="s">
        <v>59</v>
      </c>
      <c r="P273">
        <v>1</v>
      </c>
      <c r="Q273" t="s">
        <v>626</v>
      </c>
    </row>
    <row r="274" spans="2:17" hidden="1" x14ac:dyDescent="0.25">
      <c r="E274" t="s">
        <v>57</v>
      </c>
      <c r="I274">
        <v>273</v>
      </c>
      <c r="J274">
        <v>46</v>
      </c>
      <c r="K274" s="1">
        <v>44830.375</v>
      </c>
      <c r="L274" s="1">
        <v>44893.75</v>
      </c>
      <c r="O274" t="s">
        <v>51</v>
      </c>
      <c r="P274">
        <v>1</v>
      </c>
      <c r="Q274" t="s">
        <v>626</v>
      </c>
    </row>
    <row r="275" spans="2:17" hidden="1" x14ac:dyDescent="0.25">
      <c r="E275" t="s">
        <v>58</v>
      </c>
      <c r="I275">
        <v>274</v>
      </c>
      <c r="J275">
        <v>30</v>
      </c>
      <c r="K275" s="1">
        <v>44852.375</v>
      </c>
      <c r="L275" s="1">
        <v>44893.75</v>
      </c>
      <c r="N275">
        <v>279</v>
      </c>
      <c r="O275" t="s">
        <v>59</v>
      </c>
      <c r="P275">
        <v>1</v>
      </c>
      <c r="Q275" t="s">
        <v>626</v>
      </c>
    </row>
    <row r="276" spans="2:17" hidden="1" x14ac:dyDescent="0.25">
      <c r="E276" t="s">
        <v>61</v>
      </c>
      <c r="I276">
        <v>275</v>
      </c>
      <c r="J276">
        <v>16</v>
      </c>
      <c r="K276" s="1">
        <v>44872.375</v>
      </c>
      <c r="L276" s="1">
        <v>44893.75</v>
      </c>
      <c r="O276" t="s">
        <v>51</v>
      </c>
      <c r="P276">
        <v>1</v>
      </c>
      <c r="Q276" t="s">
        <v>626</v>
      </c>
    </row>
    <row r="277" spans="2:17" hidden="1" x14ac:dyDescent="0.25">
      <c r="E277" t="s">
        <v>66</v>
      </c>
      <c r="I277">
        <v>276</v>
      </c>
      <c r="J277">
        <v>16</v>
      </c>
      <c r="K277" s="1">
        <v>44872.375</v>
      </c>
      <c r="L277" s="1">
        <v>44893.75</v>
      </c>
      <c r="N277" t="s">
        <v>549</v>
      </c>
      <c r="O277" t="s">
        <v>51</v>
      </c>
      <c r="P277">
        <v>1</v>
      </c>
      <c r="Q277" t="s">
        <v>626</v>
      </c>
    </row>
    <row r="278" spans="2:17" hidden="1" x14ac:dyDescent="0.25">
      <c r="E278" t="s">
        <v>63</v>
      </c>
      <c r="I278">
        <v>277</v>
      </c>
      <c r="J278">
        <v>10</v>
      </c>
      <c r="K278" s="1">
        <v>44894.375</v>
      </c>
      <c r="L278" s="1">
        <v>44907.75</v>
      </c>
      <c r="M278">
        <v>276</v>
      </c>
      <c r="O278" t="s">
        <v>51</v>
      </c>
      <c r="P278">
        <v>1</v>
      </c>
      <c r="Q278" t="s">
        <v>626</v>
      </c>
    </row>
    <row r="279" spans="2:17" hidden="1" x14ac:dyDescent="0.25">
      <c r="E279" t="s">
        <v>64</v>
      </c>
      <c r="I279">
        <v>278</v>
      </c>
      <c r="J279">
        <v>10</v>
      </c>
      <c r="K279" s="1">
        <v>44894.375</v>
      </c>
      <c r="L279" s="1">
        <v>44907.75</v>
      </c>
      <c r="M279">
        <v>276</v>
      </c>
      <c r="O279" t="s">
        <v>51</v>
      </c>
      <c r="P279">
        <v>1</v>
      </c>
      <c r="Q279" t="s">
        <v>626</v>
      </c>
    </row>
    <row r="280" spans="2:17" hidden="1" x14ac:dyDescent="0.25">
      <c r="E280" t="s">
        <v>65</v>
      </c>
      <c r="I280">
        <v>279</v>
      </c>
      <c r="J280">
        <v>10</v>
      </c>
      <c r="K280" s="1">
        <v>44894.375</v>
      </c>
      <c r="L280" s="1">
        <v>44907.75</v>
      </c>
      <c r="M280">
        <v>274</v>
      </c>
      <c r="N280" t="s">
        <v>550</v>
      </c>
      <c r="O280" t="s">
        <v>59</v>
      </c>
      <c r="P280">
        <v>1</v>
      </c>
      <c r="Q280" t="s">
        <v>626</v>
      </c>
    </row>
    <row r="281" spans="2:17" hidden="1" x14ac:dyDescent="0.25">
      <c r="E281" t="s">
        <v>69</v>
      </c>
      <c r="I281">
        <v>280</v>
      </c>
      <c r="J281">
        <v>7.5</v>
      </c>
      <c r="K281" s="1">
        <v>44908.375</v>
      </c>
      <c r="L281" s="1">
        <v>44917.541666666664</v>
      </c>
      <c r="M281">
        <v>279</v>
      </c>
      <c r="N281">
        <v>284</v>
      </c>
      <c r="O281" t="s">
        <v>51</v>
      </c>
      <c r="P281">
        <v>1</v>
      </c>
      <c r="Q281" t="s">
        <v>626</v>
      </c>
    </row>
    <row r="282" spans="2:17" hidden="1" x14ac:dyDescent="0.25">
      <c r="E282" t="s">
        <v>551</v>
      </c>
      <c r="I282">
        <v>281</v>
      </c>
      <c r="J282">
        <v>3</v>
      </c>
      <c r="K282" s="1">
        <v>44936.375</v>
      </c>
      <c r="L282" s="1">
        <v>44938.75</v>
      </c>
      <c r="O282" t="s">
        <v>51</v>
      </c>
      <c r="P282">
        <v>1</v>
      </c>
      <c r="Q282" t="s">
        <v>626</v>
      </c>
    </row>
    <row r="283" spans="2:17" hidden="1" x14ac:dyDescent="0.25">
      <c r="E283" t="s">
        <v>552</v>
      </c>
      <c r="I283">
        <v>282</v>
      </c>
      <c r="J283">
        <v>15</v>
      </c>
      <c r="K283" s="1">
        <v>44935.375</v>
      </c>
      <c r="L283" s="1">
        <v>44953.75</v>
      </c>
      <c r="M283">
        <v>279</v>
      </c>
      <c r="O283" t="s">
        <v>51</v>
      </c>
      <c r="P283">
        <v>1</v>
      </c>
      <c r="Q283" t="s">
        <v>626</v>
      </c>
    </row>
    <row r="284" spans="2:17" x14ac:dyDescent="0.25">
      <c r="E284" t="s">
        <v>553</v>
      </c>
      <c r="I284">
        <v>283</v>
      </c>
      <c r="J284">
        <v>27</v>
      </c>
      <c r="K284" s="1">
        <v>44978.375</v>
      </c>
      <c r="L284" s="1">
        <v>45014.75</v>
      </c>
      <c r="M284">
        <v>279</v>
      </c>
      <c r="O284" t="s">
        <v>51</v>
      </c>
      <c r="P284">
        <v>0</v>
      </c>
      <c r="Q284" t="s">
        <v>626</v>
      </c>
    </row>
    <row r="285" spans="2:17" hidden="1" x14ac:dyDescent="0.25">
      <c r="C285" t="s">
        <v>243</v>
      </c>
      <c r="I285">
        <v>284</v>
      </c>
      <c r="J285">
        <v>18</v>
      </c>
      <c r="K285" s="1">
        <v>44923.375</v>
      </c>
      <c r="L285" s="1">
        <v>44946.75</v>
      </c>
      <c r="M285">
        <v>280</v>
      </c>
      <c r="N285" t="s">
        <v>554</v>
      </c>
      <c r="O285" t="s">
        <v>40</v>
      </c>
      <c r="P285">
        <v>1</v>
      </c>
      <c r="Q285" t="s">
        <v>626</v>
      </c>
    </row>
    <row r="286" spans="2:17" s="2" customFormat="1" x14ac:dyDescent="0.25">
      <c r="B286" s="2" t="s">
        <v>555</v>
      </c>
      <c r="I286" s="2">
        <v>285</v>
      </c>
      <c r="J286" s="2">
        <v>10</v>
      </c>
      <c r="K286" s="3">
        <v>45124.375</v>
      </c>
      <c r="L286" s="3">
        <v>45135.75</v>
      </c>
      <c r="P286" s="2">
        <v>0</v>
      </c>
      <c r="Q286" s="2" t="s">
        <v>626</v>
      </c>
    </row>
    <row r="287" spans="2:17" x14ac:dyDescent="0.25">
      <c r="C287" t="s">
        <v>556</v>
      </c>
      <c r="I287">
        <v>286</v>
      </c>
      <c r="J287">
        <v>10</v>
      </c>
      <c r="K287" s="1">
        <v>45124.375</v>
      </c>
      <c r="L287" s="1">
        <v>45135.75</v>
      </c>
      <c r="N287" t="s">
        <v>557</v>
      </c>
      <c r="O287" t="s">
        <v>40</v>
      </c>
      <c r="P287">
        <v>0</v>
      </c>
      <c r="Q287" t="s">
        <v>626</v>
      </c>
    </row>
    <row r="288" spans="2:17" x14ac:dyDescent="0.25">
      <c r="C288" t="s">
        <v>558</v>
      </c>
      <c r="I288">
        <v>287</v>
      </c>
      <c r="J288">
        <v>10</v>
      </c>
      <c r="K288" s="1">
        <v>45124.375</v>
      </c>
      <c r="L288" s="1">
        <v>45135.75</v>
      </c>
      <c r="M288" t="s">
        <v>559</v>
      </c>
      <c r="P288">
        <v>0</v>
      </c>
      <c r="Q288" t="s">
        <v>626</v>
      </c>
    </row>
    <row r="289" spans="2:17" hidden="1" x14ac:dyDescent="0.25">
      <c r="C289" t="s">
        <v>451</v>
      </c>
      <c r="I289">
        <v>290</v>
      </c>
      <c r="J289">
        <v>10</v>
      </c>
      <c r="K289" s="1">
        <v>44965.375</v>
      </c>
      <c r="L289" s="1">
        <v>44978.75</v>
      </c>
      <c r="M289" t="s">
        <v>560</v>
      </c>
      <c r="P289">
        <v>0</v>
      </c>
      <c r="Q289" t="s">
        <v>628</v>
      </c>
    </row>
    <row r="290" spans="2:17" s="2" customFormat="1" hidden="1" x14ac:dyDescent="0.25">
      <c r="B290" s="2" t="s">
        <v>561</v>
      </c>
      <c r="I290" s="2">
        <v>291</v>
      </c>
      <c r="J290" s="2">
        <v>98</v>
      </c>
      <c r="K290" s="3">
        <v>44823.375</v>
      </c>
      <c r="L290" s="3">
        <v>44958.75</v>
      </c>
      <c r="P290" s="2">
        <v>1</v>
      </c>
      <c r="Q290" s="2" t="s">
        <v>626</v>
      </c>
    </row>
    <row r="291" spans="2:17" s="2" customFormat="1" hidden="1" x14ac:dyDescent="0.25">
      <c r="C291" s="2" t="s">
        <v>151</v>
      </c>
      <c r="I291" s="2">
        <v>292</v>
      </c>
      <c r="J291" s="2">
        <v>92.375</v>
      </c>
      <c r="K291" s="3">
        <v>44830.375</v>
      </c>
      <c r="L291" s="3">
        <v>44958.5</v>
      </c>
      <c r="M291" s="2">
        <v>147</v>
      </c>
      <c r="N291" s="2" t="s">
        <v>562</v>
      </c>
      <c r="P291" s="2">
        <v>1</v>
      </c>
      <c r="Q291" s="2" t="s">
        <v>626</v>
      </c>
    </row>
    <row r="292" spans="2:17" hidden="1" x14ac:dyDescent="0.25">
      <c r="D292" t="s">
        <v>563</v>
      </c>
      <c r="I292">
        <v>293</v>
      </c>
      <c r="J292">
        <v>10</v>
      </c>
      <c r="K292" s="1">
        <v>44915.375</v>
      </c>
      <c r="L292" s="1">
        <v>44928.75</v>
      </c>
      <c r="M292">
        <v>16</v>
      </c>
      <c r="O292" t="s">
        <v>54</v>
      </c>
      <c r="P292">
        <v>1</v>
      </c>
      <c r="Q292" t="s">
        <v>626</v>
      </c>
    </row>
    <row r="293" spans="2:17" s="2" customFormat="1" hidden="1" x14ac:dyDescent="0.25">
      <c r="D293" s="2" t="s">
        <v>153</v>
      </c>
      <c r="I293" s="2">
        <v>294</v>
      </c>
      <c r="J293" s="2">
        <v>92.375</v>
      </c>
      <c r="K293" s="3">
        <v>44830.375</v>
      </c>
      <c r="L293" s="3">
        <v>44958.5</v>
      </c>
      <c r="P293" s="2">
        <v>1</v>
      </c>
      <c r="Q293" s="2" t="s">
        <v>626</v>
      </c>
    </row>
    <row r="294" spans="2:17" hidden="1" x14ac:dyDescent="0.25">
      <c r="E294" t="s">
        <v>564</v>
      </c>
      <c r="I294">
        <v>295</v>
      </c>
      <c r="J294">
        <v>5</v>
      </c>
      <c r="K294" s="1">
        <v>44830.375</v>
      </c>
      <c r="L294" s="1">
        <v>44834.75</v>
      </c>
      <c r="N294" t="s">
        <v>565</v>
      </c>
      <c r="O294" t="s">
        <v>93</v>
      </c>
      <c r="P294">
        <v>1</v>
      </c>
      <c r="Q294" t="s">
        <v>626</v>
      </c>
    </row>
    <row r="295" spans="2:17" hidden="1" x14ac:dyDescent="0.25">
      <c r="E295" t="s">
        <v>566</v>
      </c>
      <c r="I295">
        <v>296</v>
      </c>
      <c r="J295">
        <v>21</v>
      </c>
      <c r="K295" s="1">
        <v>44886.375</v>
      </c>
      <c r="L295" s="1">
        <v>44914.75</v>
      </c>
      <c r="O295" t="s">
        <v>99</v>
      </c>
      <c r="P295">
        <v>1</v>
      </c>
      <c r="Q295" t="s">
        <v>626</v>
      </c>
    </row>
    <row r="296" spans="2:17" s="2" customFormat="1" hidden="1" x14ac:dyDescent="0.25">
      <c r="E296" s="2" t="s">
        <v>567</v>
      </c>
      <c r="I296" s="2">
        <v>297</v>
      </c>
      <c r="J296" s="2">
        <v>25</v>
      </c>
      <c r="K296" s="3">
        <v>44886.375</v>
      </c>
      <c r="L296" s="3">
        <v>44918.75</v>
      </c>
      <c r="N296" s="2">
        <v>313</v>
      </c>
      <c r="O296" s="2" t="s">
        <v>40</v>
      </c>
      <c r="P296" s="2">
        <v>1</v>
      </c>
      <c r="Q296" s="2" t="s">
        <v>626</v>
      </c>
    </row>
    <row r="297" spans="2:17" hidden="1" x14ac:dyDescent="0.25">
      <c r="F297" t="s">
        <v>568</v>
      </c>
      <c r="I297">
        <v>298</v>
      </c>
      <c r="J297">
        <v>10</v>
      </c>
      <c r="K297" s="1">
        <v>44886.375</v>
      </c>
      <c r="L297" s="1">
        <v>44897.75</v>
      </c>
      <c r="O297" t="s">
        <v>54</v>
      </c>
      <c r="P297">
        <v>1</v>
      </c>
      <c r="Q297" t="s">
        <v>626</v>
      </c>
    </row>
    <row r="298" spans="2:17" hidden="1" x14ac:dyDescent="0.25">
      <c r="F298" t="s">
        <v>569</v>
      </c>
      <c r="I298">
        <v>299</v>
      </c>
      <c r="J298">
        <v>10</v>
      </c>
      <c r="K298" s="1">
        <v>44907.375</v>
      </c>
      <c r="L298" s="1">
        <v>44918.75</v>
      </c>
      <c r="O298" t="s">
        <v>99</v>
      </c>
      <c r="P298">
        <v>1</v>
      </c>
      <c r="Q298" t="s">
        <v>626</v>
      </c>
    </row>
    <row r="299" spans="2:17" hidden="1" x14ac:dyDescent="0.25">
      <c r="F299" t="s">
        <v>570</v>
      </c>
      <c r="I299">
        <v>300</v>
      </c>
      <c r="J299">
        <v>10</v>
      </c>
      <c r="K299" s="1">
        <v>44907.375</v>
      </c>
      <c r="L299" s="1">
        <v>44918.75</v>
      </c>
      <c r="O299" t="s">
        <v>99</v>
      </c>
      <c r="P299">
        <v>1</v>
      </c>
      <c r="Q299" t="s">
        <v>626</v>
      </c>
    </row>
    <row r="300" spans="2:17" s="2" customFormat="1" hidden="1" x14ac:dyDescent="0.25">
      <c r="F300" s="2" t="s">
        <v>571</v>
      </c>
      <c r="I300" s="2">
        <v>301</v>
      </c>
      <c r="J300" s="2">
        <v>6.5</v>
      </c>
      <c r="K300" s="3">
        <v>44907.375</v>
      </c>
      <c r="L300" s="3">
        <v>44915.541666666664</v>
      </c>
      <c r="P300" s="2">
        <v>1</v>
      </c>
      <c r="Q300" s="2" t="s">
        <v>626</v>
      </c>
    </row>
    <row r="301" spans="2:17" hidden="1" x14ac:dyDescent="0.25">
      <c r="G301" t="s">
        <v>572</v>
      </c>
      <c r="I301">
        <v>302</v>
      </c>
      <c r="J301">
        <v>5</v>
      </c>
      <c r="K301" s="1">
        <v>44907.375</v>
      </c>
      <c r="L301" s="1">
        <v>44911.75</v>
      </c>
      <c r="N301">
        <v>303</v>
      </c>
      <c r="O301" t="s">
        <v>43</v>
      </c>
      <c r="P301">
        <v>1</v>
      </c>
      <c r="Q301" t="s">
        <v>626</v>
      </c>
    </row>
    <row r="302" spans="2:17" hidden="1" x14ac:dyDescent="0.25">
      <c r="G302" t="s">
        <v>573</v>
      </c>
      <c r="I302">
        <v>303</v>
      </c>
      <c r="J302">
        <v>1.5</v>
      </c>
      <c r="K302" s="1">
        <v>44914.375</v>
      </c>
      <c r="L302" s="1">
        <v>44915.541666666664</v>
      </c>
      <c r="M302">
        <v>302</v>
      </c>
      <c r="O302" t="s">
        <v>43</v>
      </c>
      <c r="P302">
        <v>1</v>
      </c>
      <c r="Q302" t="s">
        <v>626</v>
      </c>
    </row>
    <row r="303" spans="2:17" s="2" customFormat="1" hidden="1" x14ac:dyDescent="0.25">
      <c r="E303" s="2" t="s">
        <v>574</v>
      </c>
      <c r="I303" s="2">
        <v>304</v>
      </c>
      <c r="J303" s="2">
        <v>25</v>
      </c>
      <c r="K303" s="3">
        <v>44893.375</v>
      </c>
      <c r="L303" s="3">
        <v>44925.75</v>
      </c>
      <c r="O303" s="2" t="s">
        <v>54</v>
      </c>
      <c r="P303" s="2">
        <v>1</v>
      </c>
      <c r="Q303" s="2" t="s">
        <v>626</v>
      </c>
    </row>
    <row r="304" spans="2:17" s="2" customFormat="1" hidden="1" x14ac:dyDescent="0.25">
      <c r="F304" s="2" t="s">
        <v>575</v>
      </c>
      <c r="I304" s="2">
        <v>305</v>
      </c>
      <c r="J304" s="2">
        <v>25</v>
      </c>
      <c r="K304" s="3">
        <v>44893.375</v>
      </c>
      <c r="L304" s="3">
        <v>44925.75</v>
      </c>
      <c r="P304" s="2">
        <v>1</v>
      </c>
      <c r="Q304" s="2" t="s">
        <v>626</v>
      </c>
    </row>
    <row r="305" spans="4:17" hidden="1" x14ac:dyDescent="0.25">
      <c r="G305" t="s">
        <v>167</v>
      </c>
      <c r="I305">
        <v>306</v>
      </c>
      <c r="J305">
        <v>5</v>
      </c>
      <c r="K305" s="1">
        <v>44893.375</v>
      </c>
      <c r="L305" s="1">
        <v>44897.75</v>
      </c>
      <c r="N305" t="s">
        <v>576</v>
      </c>
      <c r="O305" t="s">
        <v>54</v>
      </c>
      <c r="P305">
        <v>1</v>
      </c>
      <c r="Q305" t="s">
        <v>626</v>
      </c>
    </row>
    <row r="306" spans="4:17" hidden="1" x14ac:dyDescent="0.25">
      <c r="G306" t="s">
        <v>169</v>
      </c>
      <c r="I306">
        <v>307</v>
      </c>
      <c r="J306">
        <v>5</v>
      </c>
      <c r="K306" s="1">
        <v>44893.375</v>
      </c>
      <c r="L306" s="1">
        <v>44897.75</v>
      </c>
      <c r="M306" t="s">
        <v>577</v>
      </c>
      <c r="N306" t="s">
        <v>578</v>
      </c>
      <c r="O306" t="s">
        <v>54</v>
      </c>
      <c r="P306">
        <v>1</v>
      </c>
      <c r="Q306" t="s">
        <v>626</v>
      </c>
    </row>
    <row r="307" spans="4:17" hidden="1" x14ac:dyDescent="0.25">
      <c r="G307" t="s">
        <v>170</v>
      </c>
      <c r="I307">
        <v>308</v>
      </c>
      <c r="J307">
        <v>5</v>
      </c>
      <c r="K307" s="1">
        <v>44893.375</v>
      </c>
      <c r="L307" s="1">
        <v>44897.75</v>
      </c>
      <c r="M307" t="s">
        <v>576</v>
      </c>
      <c r="O307" t="s">
        <v>54</v>
      </c>
      <c r="P307">
        <v>1</v>
      </c>
      <c r="Q307" t="s">
        <v>626</v>
      </c>
    </row>
    <row r="308" spans="4:17" hidden="1" x14ac:dyDescent="0.25">
      <c r="G308" t="s">
        <v>171</v>
      </c>
      <c r="I308">
        <v>309</v>
      </c>
      <c r="J308">
        <v>5</v>
      </c>
      <c r="K308" s="1">
        <v>44893.375</v>
      </c>
      <c r="L308" s="1">
        <v>44897.75</v>
      </c>
      <c r="M308" t="s">
        <v>576</v>
      </c>
      <c r="O308" t="s">
        <v>54</v>
      </c>
      <c r="P308">
        <v>1</v>
      </c>
      <c r="Q308" t="s">
        <v>626</v>
      </c>
    </row>
    <row r="309" spans="4:17" hidden="1" x14ac:dyDescent="0.25">
      <c r="G309" t="s">
        <v>172</v>
      </c>
      <c r="I309">
        <v>310</v>
      </c>
      <c r="J309">
        <v>5</v>
      </c>
      <c r="K309" s="1">
        <v>44893.375</v>
      </c>
      <c r="L309" s="1">
        <v>44897.75</v>
      </c>
      <c r="M309" t="s">
        <v>576</v>
      </c>
      <c r="N309">
        <v>311</v>
      </c>
      <c r="O309" t="s">
        <v>54</v>
      </c>
      <c r="P309">
        <v>1</v>
      </c>
      <c r="Q309" t="s">
        <v>626</v>
      </c>
    </row>
    <row r="310" spans="4:17" hidden="1" x14ac:dyDescent="0.25">
      <c r="G310" t="s">
        <v>579</v>
      </c>
      <c r="I310">
        <v>311</v>
      </c>
      <c r="J310">
        <v>15</v>
      </c>
      <c r="K310" s="1">
        <v>44907.375</v>
      </c>
      <c r="L310" s="1">
        <v>44925.75</v>
      </c>
      <c r="M310">
        <v>310</v>
      </c>
      <c r="O310" t="s">
        <v>54</v>
      </c>
      <c r="P310">
        <v>1</v>
      </c>
      <c r="Q310" t="s">
        <v>626</v>
      </c>
    </row>
    <row r="311" spans="4:17" s="2" customFormat="1" hidden="1" x14ac:dyDescent="0.25">
      <c r="E311" s="2" t="s">
        <v>580</v>
      </c>
      <c r="I311" s="2">
        <v>312</v>
      </c>
      <c r="J311" s="2">
        <v>9.75</v>
      </c>
      <c r="K311" s="3">
        <v>44944.625</v>
      </c>
      <c r="L311" s="3">
        <v>44958.5</v>
      </c>
      <c r="N311" s="2" t="s">
        <v>581</v>
      </c>
      <c r="O311" s="2" t="s">
        <v>54</v>
      </c>
      <c r="P311" s="2">
        <v>1</v>
      </c>
      <c r="Q311" s="2" t="s">
        <v>626</v>
      </c>
    </row>
    <row r="312" spans="4:17" hidden="1" x14ac:dyDescent="0.25">
      <c r="F312" t="s">
        <v>582</v>
      </c>
      <c r="I312">
        <v>313</v>
      </c>
      <c r="J312">
        <v>1.625</v>
      </c>
      <c r="K312" s="1">
        <v>44944.625</v>
      </c>
      <c r="L312" s="1">
        <v>44946.458333333336</v>
      </c>
      <c r="M312" t="s">
        <v>583</v>
      </c>
      <c r="N312">
        <v>314</v>
      </c>
      <c r="O312" t="s">
        <v>59</v>
      </c>
      <c r="P312">
        <v>1</v>
      </c>
      <c r="Q312" t="s">
        <v>626</v>
      </c>
    </row>
    <row r="313" spans="4:17" hidden="1" x14ac:dyDescent="0.25">
      <c r="F313" t="s">
        <v>584</v>
      </c>
      <c r="I313">
        <v>314</v>
      </c>
      <c r="J313">
        <v>1.625</v>
      </c>
      <c r="K313" s="1">
        <v>44946.458333333336</v>
      </c>
      <c r="L313" s="1">
        <v>44949.708333333336</v>
      </c>
      <c r="M313">
        <v>313</v>
      </c>
      <c r="N313">
        <v>315</v>
      </c>
      <c r="O313" t="s">
        <v>59</v>
      </c>
      <c r="P313">
        <v>1</v>
      </c>
      <c r="Q313" t="s">
        <v>626</v>
      </c>
    </row>
    <row r="314" spans="4:17" hidden="1" x14ac:dyDescent="0.25">
      <c r="F314" t="s">
        <v>585</v>
      </c>
      <c r="I314">
        <v>315</v>
      </c>
      <c r="J314">
        <v>1.625</v>
      </c>
      <c r="K314" s="1">
        <v>44949.708333333336</v>
      </c>
      <c r="L314" s="1">
        <v>44951.541666666664</v>
      </c>
      <c r="M314">
        <v>314</v>
      </c>
      <c r="N314">
        <v>316</v>
      </c>
      <c r="O314" t="s">
        <v>59</v>
      </c>
      <c r="P314">
        <v>1</v>
      </c>
      <c r="Q314" t="s">
        <v>626</v>
      </c>
    </row>
    <row r="315" spans="4:17" hidden="1" x14ac:dyDescent="0.25">
      <c r="F315" t="s">
        <v>586</v>
      </c>
      <c r="I315">
        <v>316</v>
      </c>
      <c r="J315">
        <v>1.625</v>
      </c>
      <c r="K315" s="1">
        <v>44951.583333333336</v>
      </c>
      <c r="L315" s="1">
        <v>44953.416666666664</v>
      </c>
      <c r="M315">
        <v>315</v>
      </c>
      <c r="N315">
        <v>317</v>
      </c>
      <c r="O315" t="s">
        <v>59</v>
      </c>
      <c r="P315">
        <v>1</v>
      </c>
      <c r="Q315" t="s">
        <v>626</v>
      </c>
    </row>
    <row r="316" spans="4:17" hidden="1" x14ac:dyDescent="0.25">
      <c r="F316" t="s">
        <v>587</v>
      </c>
      <c r="I316">
        <v>317</v>
      </c>
      <c r="J316">
        <v>1.625</v>
      </c>
      <c r="K316" s="1">
        <v>44953.416666666664</v>
      </c>
      <c r="L316" s="1">
        <v>44956.666666666664</v>
      </c>
      <c r="M316">
        <v>316</v>
      </c>
      <c r="N316">
        <v>318</v>
      </c>
      <c r="O316" t="s">
        <v>59</v>
      </c>
      <c r="P316">
        <v>1</v>
      </c>
      <c r="Q316" t="s">
        <v>626</v>
      </c>
    </row>
    <row r="317" spans="4:17" hidden="1" x14ac:dyDescent="0.25">
      <c r="F317" t="s">
        <v>588</v>
      </c>
      <c r="I317">
        <v>318</v>
      </c>
      <c r="J317">
        <v>1.625</v>
      </c>
      <c r="K317" s="1">
        <v>44956.666666666664</v>
      </c>
      <c r="L317" s="1">
        <v>44958.5</v>
      </c>
      <c r="M317">
        <v>317</v>
      </c>
      <c r="O317" t="s">
        <v>59</v>
      </c>
      <c r="P317">
        <v>1</v>
      </c>
      <c r="Q317" t="s">
        <v>626</v>
      </c>
    </row>
    <row r="318" spans="4:17" s="2" customFormat="1" hidden="1" x14ac:dyDescent="0.25">
      <c r="D318" s="2" t="s">
        <v>174</v>
      </c>
      <c r="I318" s="2">
        <v>319</v>
      </c>
      <c r="J318" s="2">
        <v>69</v>
      </c>
      <c r="K318" s="3">
        <v>44852.375</v>
      </c>
      <c r="L318" s="3">
        <v>44946.75</v>
      </c>
      <c r="P318" s="2">
        <v>1</v>
      </c>
      <c r="Q318" s="2" t="s">
        <v>626</v>
      </c>
    </row>
    <row r="319" spans="4:17" hidden="1" x14ac:dyDescent="0.25">
      <c r="E319" t="s">
        <v>175</v>
      </c>
      <c r="I319">
        <v>320</v>
      </c>
      <c r="J319">
        <v>15</v>
      </c>
      <c r="K319" s="1">
        <v>44852.375</v>
      </c>
      <c r="L319" s="1">
        <v>44872.75</v>
      </c>
      <c r="M319">
        <v>295</v>
      </c>
      <c r="N319">
        <v>10</v>
      </c>
      <c r="O319" t="s">
        <v>54</v>
      </c>
      <c r="P319">
        <v>1</v>
      </c>
      <c r="Q319" t="s">
        <v>626</v>
      </c>
    </row>
    <row r="320" spans="4:17" hidden="1" x14ac:dyDescent="0.25">
      <c r="E320" t="s">
        <v>176</v>
      </c>
      <c r="I320">
        <v>321</v>
      </c>
      <c r="J320">
        <v>10</v>
      </c>
      <c r="K320" s="1">
        <v>44866.375</v>
      </c>
      <c r="L320" s="1">
        <v>44879.75</v>
      </c>
      <c r="O320" t="s">
        <v>54</v>
      </c>
      <c r="P320">
        <v>1</v>
      </c>
      <c r="Q320" t="s">
        <v>626</v>
      </c>
    </row>
    <row r="321" spans="3:17" hidden="1" x14ac:dyDescent="0.25">
      <c r="E321" t="s">
        <v>177</v>
      </c>
      <c r="I321">
        <v>322</v>
      </c>
      <c r="J321">
        <v>16</v>
      </c>
      <c r="K321" s="1">
        <v>44858.375</v>
      </c>
      <c r="L321" s="1">
        <v>44879.75</v>
      </c>
      <c r="N321">
        <v>324</v>
      </c>
      <c r="O321" t="s">
        <v>93</v>
      </c>
      <c r="P321">
        <v>1</v>
      </c>
      <c r="Q321" t="s">
        <v>626</v>
      </c>
    </row>
    <row r="322" spans="3:17" s="2" customFormat="1" hidden="1" x14ac:dyDescent="0.25">
      <c r="E322" s="2" t="s">
        <v>589</v>
      </c>
      <c r="I322" s="2">
        <v>323</v>
      </c>
      <c r="J322" s="2">
        <v>50</v>
      </c>
      <c r="K322" s="3">
        <v>44879.375</v>
      </c>
      <c r="L322" s="3">
        <v>44946.75</v>
      </c>
      <c r="P322" s="2">
        <v>1</v>
      </c>
      <c r="Q322" s="2" t="s">
        <v>626</v>
      </c>
    </row>
    <row r="323" spans="3:17" s="2" customFormat="1" hidden="1" x14ac:dyDescent="0.25">
      <c r="F323" s="2" t="s">
        <v>179</v>
      </c>
      <c r="I323" s="2">
        <v>324</v>
      </c>
      <c r="J323" s="2">
        <v>20</v>
      </c>
      <c r="K323" s="3">
        <v>44880.375</v>
      </c>
      <c r="L323" s="3">
        <v>44907.75</v>
      </c>
      <c r="M323" s="2">
        <v>322</v>
      </c>
      <c r="N323" s="2" t="s">
        <v>590</v>
      </c>
      <c r="O323" s="2" t="s">
        <v>99</v>
      </c>
      <c r="P323" s="2">
        <v>1</v>
      </c>
      <c r="Q323" s="2" t="s">
        <v>626</v>
      </c>
    </row>
    <row r="324" spans="3:17" hidden="1" x14ac:dyDescent="0.25">
      <c r="G324" t="s">
        <v>180</v>
      </c>
      <c r="I324">
        <v>325</v>
      </c>
      <c r="J324">
        <v>10</v>
      </c>
      <c r="K324" s="1">
        <v>44880.375</v>
      </c>
      <c r="L324" s="1">
        <v>44893.75</v>
      </c>
      <c r="N324" t="s">
        <v>591</v>
      </c>
      <c r="O324" t="s">
        <v>93</v>
      </c>
      <c r="P324">
        <v>1</v>
      </c>
      <c r="Q324" t="s">
        <v>626</v>
      </c>
    </row>
    <row r="325" spans="3:17" hidden="1" x14ac:dyDescent="0.25">
      <c r="G325" t="s">
        <v>181</v>
      </c>
      <c r="I325">
        <v>326</v>
      </c>
      <c r="J325">
        <v>5</v>
      </c>
      <c r="K325" s="1">
        <v>44894.375</v>
      </c>
      <c r="L325" s="1">
        <v>44900.75</v>
      </c>
      <c r="M325">
        <v>325</v>
      </c>
      <c r="N325">
        <v>12</v>
      </c>
      <c r="O325" t="s">
        <v>93</v>
      </c>
      <c r="P325">
        <v>1</v>
      </c>
      <c r="Q325" t="s">
        <v>626</v>
      </c>
    </row>
    <row r="326" spans="3:17" hidden="1" x14ac:dyDescent="0.25">
      <c r="G326" t="s">
        <v>182</v>
      </c>
      <c r="I326">
        <v>327</v>
      </c>
      <c r="J326">
        <v>10</v>
      </c>
      <c r="K326" s="1">
        <v>44894.375</v>
      </c>
      <c r="L326" s="1">
        <v>44907.75</v>
      </c>
      <c r="M326">
        <v>325</v>
      </c>
      <c r="N326">
        <v>13</v>
      </c>
      <c r="O326" t="s">
        <v>99</v>
      </c>
      <c r="P326">
        <v>1</v>
      </c>
      <c r="Q326" t="s">
        <v>626</v>
      </c>
    </row>
    <row r="327" spans="3:17" hidden="1" x14ac:dyDescent="0.25">
      <c r="G327" t="s">
        <v>183</v>
      </c>
      <c r="I327">
        <v>328</v>
      </c>
      <c r="J327">
        <v>10</v>
      </c>
      <c r="K327" s="1">
        <v>44894.375</v>
      </c>
      <c r="L327" s="1">
        <v>44907.75</v>
      </c>
      <c r="M327">
        <v>325</v>
      </c>
      <c r="N327" t="s">
        <v>592</v>
      </c>
      <c r="O327" t="s">
        <v>54</v>
      </c>
      <c r="P327">
        <v>1</v>
      </c>
      <c r="Q327" t="s">
        <v>626</v>
      </c>
    </row>
    <row r="328" spans="3:17" hidden="1" x14ac:dyDescent="0.25">
      <c r="F328" t="s">
        <v>593</v>
      </c>
      <c r="I328">
        <v>329</v>
      </c>
      <c r="J328">
        <v>5</v>
      </c>
      <c r="K328" s="1">
        <v>44921.375</v>
      </c>
      <c r="L328" s="1">
        <v>44925.75</v>
      </c>
      <c r="M328">
        <v>324</v>
      </c>
      <c r="O328" t="s">
        <v>99</v>
      </c>
      <c r="P328">
        <v>1</v>
      </c>
      <c r="Q328" t="s">
        <v>626</v>
      </c>
    </row>
    <row r="329" spans="3:17" s="2" customFormat="1" hidden="1" x14ac:dyDescent="0.25">
      <c r="F329" s="2" t="s">
        <v>187</v>
      </c>
      <c r="I329" s="2">
        <v>330</v>
      </c>
      <c r="J329" s="2">
        <v>50</v>
      </c>
      <c r="K329" s="3">
        <v>44879.375</v>
      </c>
      <c r="L329" s="3">
        <v>44946.75</v>
      </c>
      <c r="O329" s="2" t="s">
        <v>93</v>
      </c>
      <c r="P329" s="2">
        <v>1</v>
      </c>
      <c r="Q329" s="2" t="s">
        <v>626</v>
      </c>
    </row>
    <row r="330" spans="3:17" hidden="1" x14ac:dyDescent="0.25">
      <c r="G330" t="s">
        <v>188</v>
      </c>
      <c r="I330">
        <v>331</v>
      </c>
      <c r="J330">
        <v>10</v>
      </c>
      <c r="K330" s="1">
        <v>44901.375</v>
      </c>
      <c r="L330" s="1">
        <v>44914.75</v>
      </c>
      <c r="M330" t="s">
        <v>594</v>
      </c>
      <c r="N330" t="s">
        <v>595</v>
      </c>
      <c r="O330" t="s">
        <v>54</v>
      </c>
      <c r="P330">
        <v>1</v>
      </c>
      <c r="Q330" t="s">
        <v>626</v>
      </c>
    </row>
    <row r="331" spans="3:17" s="2" customFormat="1" hidden="1" x14ac:dyDescent="0.25">
      <c r="G331" s="2" t="s">
        <v>189</v>
      </c>
      <c r="I331" s="2">
        <v>332</v>
      </c>
      <c r="J331" s="2">
        <v>50</v>
      </c>
      <c r="K331" s="3">
        <v>44879.375</v>
      </c>
      <c r="L331" s="3">
        <v>44946.75</v>
      </c>
      <c r="O331" s="2" t="s">
        <v>40</v>
      </c>
      <c r="P331" s="2">
        <v>1</v>
      </c>
      <c r="Q331" s="2" t="s">
        <v>626</v>
      </c>
    </row>
    <row r="332" spans="3:17" hidden="1" x14ac:dyDescent="0.25">
      <c r="H332" t="s">
        <v>190</v>
      </c>
      <c r="I332">
        <v>333</v>
      </c>
      <c r="J332">
        <v>22</v>
      </c>
      <c r="K332" s="1">
        <v>44879.375</v>
      </c>
      <c r="L332" s="1">
        <v>44908.75</v>
      </c>
      <c r="N332">
        <v>334</v>
      </c>
      <c r="O332" t="s">
        <v>45</v>
      </c>
      <c r="P332">
        <v>1</v>
      </c>
      <c r="Q332" t="s">
        <v>626</v>
      </c>
    </row>
    <row r="333" spans="3:17" hidden="1" x14ac:dyDescent="0.25">
      <c r="H333" t="s">
        <v>596</v>
      </c>
      <c r="I333">
        <v>334</v>
      </c>
      <c r="J333">
        <v>25</v>
      </c>
      <c r="K333" s="1">
        <v>44914.375</v>
      </c>
      <c r="L333" s="1">
        <v>44946.75</v>
      </c>
      <c r="M333">
        <v>333</v>
      </c>
      <c r="O333" t="s">
        <v>45</v>
      </c>
      <c r="P333">
        <v>1</v>
      </c>
      <c r="Q333" t="s">
        <v>626</v>
      </c>
    </row>
    <row r="334" spans="3:17" hidden="1" x14ac:dyDescent="0.25">
      <c r="F334" t="s">
        <v>192</v>
      </c>
      <c r="I334">
        <v>335</v>
      </c>
      <c r="J334">
        <v>23</v>
      </c>
      <c r="K334" s="1">
        <v>44879.375</v>
      </c>
      <c r="L334" s="1">
        <v>44909.75</v>
      </c>
      <c r="O334" t="s">
        <v>40</v>
      </c>
      <c r="P334">
        <v>1</v>
      </c>
      <c r="Q334" t="s">
        <v>626</v>
      </c>
    </row>
    <row r="335" spans="3:17" s="2" customFormat="1" hidden="1" x14ac:dyDescent="0.25">
      <c r="C335" s="2" t="s">
        <v>597</v>
      </c>
      <c r="I335" s="2">
        <v>336</v>
      </c>
      <c r="J335" s="2">
        <v>3.5</v>
      </c>
      <c r="K335" s="3">
        <v>44936.375</v>
      </c>
      <c r="L335" s="3">
        <v>44939.541666666664</v>
      </c>
      <c r="P335" s="2">
        <v>1</v>
      </c>
      <c r="Q335" s="2" t="s">
        <v>626</v>
      </c>
    </row>
    <row r="336" spans="3:17" hidden="1" x14ac:dyDescent="0.25">
      <c r="D336" t="s">
        <v>598</v>
      </c>
      <c r="I336">
        <v>337</v>
      </c>
      <c r="J336">
        <v>2.5</v>
      </c>
      <c r="K336" s="1">
        <v>44936.375</v>
      </c>
      <c r="L336" s="1">
        <v>44938.541666666664</v>
      </c>
      <c r="N336">
        <v>339</v>
      </c>
      <c r="O336" t="s">
        <v>599</v>
      </c>
      <c r="P336">
        <v>1</v>
      </c>
      <c r="Q336" t="s">
        <v>626</v>
      </c>
    </row>
    <row r="337" spans="3:17" s="2" customFormat="1" hidden="1" x14ac:dyDescent="0.25">
      <c r="D337" s="2" t="s">
        <v>600</v>
      </c>
      <c r="I337" s="2">
        <v>338</v>
      </c>
      <c r="J337" s="2">
        <v>1</v>
      </c>
      <c r="K337" s="3">
        <v>44938.583333333336</v>
      </c>
      <c r="L337" s="3">
        <v>44939.541666666664</v>
      </c>
      <c r="O337" s="2" t="s">
        <v>40</v>
      </c>
      <c r="P337" s="2">
        <v>1</v>
      </c>
      <c r="Q337" s="2" t="s">
        <v>626</v>
      </c>
    </row>
    <row r="338" spans="3:17" hidden="1" x14ac:dyDescent="0.25">
      <c r="E338" t="s">
        <v>601</v>
      </c>
      <c r="I338">
        <v>339</v>
      </c>
      <c r="J338">
        <v>1</v>
      </c>
      <c r="K338" s="1">
        <v>44938.583333333336</v>
      </c>
      <c r="L338" s="1">
        <v>44939.541666666664</v>
      </c>
      <c r="M338">
        <v>337</v>
      </c>
      <c r="O338" t="s">
        <v>599</v>
      </c>
      <c r="P338">
        <v>1</v>
      </c>
      <c r="Q338" t="s">
        <v>626</v>
      </c>
    </row>
    <row r="339" spans="3:17" s="2" customFormat="1" hidden="1" x14ac:dyDescent="0.25">
      <c r="C339" s="2" t="s">
        <v>602</v>
      </c>
      <c r="I339" s="2">
        <v>340</v>
      </c>
      <c r="J339" s="2">
        <v>1.875</v>
      </c>
      <c r="K339" s="3">
        <v>44908.375</v>
      </c>
      <c r="L339" s="3">
        <v>44909.708333333336</v>
      </c>
      <c r="P339" s="2">
        <v>1</v>
      </c>
      <c r="Q339" s="2" t="s">
        <v>626</v>
      </c>
    </row>
    <row r="340" spans="3:17" hidden="1" x14ac:dyDescent="0.25">
      <c r="D340" t="s">
        <v>603</v>
      </c>
      <c r="I340">
        <v>341</v>
      </c>
      <c r="J340">
        <v>1.875</v>
      </c>
      <c r="K340" s="1">
        <v>44908.375</v>
      </c>
      <c r="L340" s="1">
        <v>44909.708333333336</v>
      </c>
      <c r="M340">
        <v>324</v>
      </c>
      <c r="O340" t="s">
        <v>99</v>
      </c>
      <c r="P340">
        <v>1</v>
      </c>
      <c r="Q340" t="s">
        <v>626</v>
      </c>
    </row>
    <row r="341" spans="3:17" hidden="1" x14ac:dyDescent="0.25">
      <c r="D341" t="s">
        <v>604</v>
      </c>
      <c r="I341">
        <v>342</v>
      </c>
      <c r="J341">
        <v>1.875</v>
      </c>
      <c r="K341" s="1">
        <v>44908.375</v>
      </c>
      <c r="L341" s="1">
        <v>44909.708333333336</v>
      </c>
      <c r="O341" t="s">
        <v>99</v>
      </c>
      <c r="P341">
        <v>1</v>
      </c>
      <c r="Q341" t="s">
        <v>626</v>
      </c>
    </row>
    <row r="342" spans="3:17" s="2" customFormat="1" hidden="1" x14ac:dyDescent="0.25">
      <c r="C342" s="2" t="s">
        <v>193</v>
      </c>
      <c r="I342" s="2">
        <v>343</v>
      </c>
      <c r="J342" s="2">
        <v>19.731249999999999</v>
      </c>
      <c r="K342" s="3">
        <v>44900.375</v>
      </c>
      <c r="L342" s="3">
        <v>44925.660069444442</v>
      </c>
      <c r="O342" s="2" t="s">
        <v>93</v>
      </c>
      <c r="P342" s="2">
        <v>1</v>
      </c>
      <c r="Q342" s="2" t="s">
        <v>626</v>
      </c>
    </row>
    <row r="343" spans="3:17" hidden="1" x14ac:dyDescent="0.25">
      <c r="D343" t="s">
        <v>605</v>
      </c>
      <c r="I343">
        <v>344</v>
      </c>
      <c r="J343">
        <v>2.5</v>
      </c>
      <c r="K343" s="1">
        <v>44900.375</v>
      </c>
      <c r="L343" s="1">
        <v>44902.541666666664</v>
      </c>
      <c r="N343">
        <v>345</v>
      </c>
      <c r="O343" t="s">
        <v>93</v>
      </c>
      <c r="P343">
        <v>1</v>
      </c>
      <c r="Q343" t="s">
        <v>626</v>
      </c>
    </row>
    <row r="344" spans="3:17" hidden="1" x14ac:dyDescent="0.25">
      <c r="D344" t="s">
        <v>606</v>
      </c>
      <c r="I344">
        <v>345</v>
      </c>
      <c r="J344">
        <v>1.5</v>
      </c>
      <c r="K344" s="1">
        <v>44902.583333333336</v>
      </c>
      <c r="L344" s="1">
        <v>44903.75</v>
      </c>
      <c r="M344">
        <v>344</v>
      </c>
      <c r="N344">
        <v>346</v>
      </c>
      <c r="O344" t="s">
        <v>93</v>
      </c>
      <c r="P344">
        <v>1</v>
      </c>
      <c r="Q344" t="s">
        <v>626</v>
      </c>
    </row>
    <row r="345" spans="3:17" hidden="1" x14ac:dyDescent="0.25">
      <c r="D345" t="s">
        <v>607</v>
      </c>
      <c r="I345">
        <v>346</v>
      </c>
      <c r="J345">
        <v>1</v>
      </c>
      <c r="K345" s="1">
        <v>44904.375</v>
      </c>
      <c r="L345" s="1">
        <v>44904.75</v>
      </c>
      <c r="M345">
        <v>345</v>
      </c>
      <c r="N345">
        <v>347</v>
      </c>
      <c r="O345" t="s">
        <v>93</v>
      </c>
      <c r="P345">
        <v>1</v>
      </c>
      <c r="Q345" t="s">
        <v>626</v>
      </c>
    </row>
    <row r="346" spans="3:17" hidden="1" x14ac:dyDescent="0.25">
      <c r="D346" t="s">
        <v>608</v>
      </c>
      <c r="I346">
        <v>347</v>
      </c>
      <c r="J346">
        <v>1</v>
      </c>
      <c r="K346" s="1">
        <v>44907.375</v>
      </c>
      <c r="L346" s="1">
        <v>44907.75</v>
      </c>
      <c r="M346">
        <v>346</v>
      </c>
      <c r="N346">
        <v>348</v>
      </c>
      <c r="O346" t="s">
        <v>93</v>
      </c>
      <c r="P346">
        <v>1</v>
      </c>
      <c r="Q346" t="s">
        <v>626</v>
      </c>
    </row>
    <row r="347" spans="3:17" hidden="1" x14ac:dyDescent="0.25">
      <c r="D347" t="s">
        <v>609</v>
      </c>
      <c r="I347">
        <v>348</v>
      </c>
      <c r="J347">
        <v>1.9833333333333334</v>
      </c>
      <c r="K347" s="1">
        <v>44908.375</v>
      </c>
      <c r="L347" s="1">
        <v>44909.744722222225</v>
      </c>
      <c r="M347">
        <v>347</v>
      </c>
      <c r="N347">
        <v>349</v>
      </c>
      <c r="O347" t="s">
        <v>93</v>
      </c>
      <c r="P347">
        <v>1</v>
      </c>
      <c r="Q347" t="s">
        <v>626</v>
      </c>
    </row>
    <row r="348" spans="3:17" hidden="1" x14ac:dyDescent="0.25">
      <c r="D348" t="s">
        <v>610</v>
      </c>
      <c r="I348">
        <v>349</v>
      </c>
      <c r="J348">
        <v>3.96875</v>
      </c>
      <c r="K348" s="1">
        <v>44909.744722222225</v>
      </c>
      <c r="L348" s="1">
        <v>44915.734166666669</v>
      </c>
      <c r="M348">
        <v>348</v>
      </c>
      <c r="N348">
        <v>350</v>
      </c>
      <c r="O348" t="s">
        <v>93</v>
      </c>
      <c r="P348">
        <v>1</v>
      </c>
      <c r="Q348" t="s">
        <v>626</v>
      </c>
    </row>
    <row r="349" spans="3:17" hidden="1" x14ac:dyDescent="0.25">
      <c r="D349" t="s">
        <v>611</v>
      </c>
      <c r="I349">
        <v>350</v>
      </c>
      <c r="J349">
        <v>1.5874999999999999</v>
      </c>
      <c r="K349" s="1">
        <v>44915.734166666669</v>
      </c>
      <c r="L349" s="1">
        <v>44917.596597222226</v>
      </c>
      <c r="M349">
        <v>349</v>
      </c>
      <c r="N349">
        <v>351</v>
      </c>
      <c r="O349" t="s">
        <v>93</v>
      </c>
      <c r="P349">
        <v>1</v>
      </c>
      <c r="Q349" t="s">
        <v>626</v>
      </c>
    </row>
    <row r="350" spans="3:17" hidden="1" x14ac:dyDescent="0.25">
      <c r="D350" t="s">
        <v>612</v>
      </c>
      <c r="I350">
        <v>351</v>
      </c>
      <c r="J350">
        <v>0.59583333333333333</v>
      </c>
      <c r="K350" s="1">
        <v>44917.596597222226</v>
      </c>
      <c r="L350" s="1">
        <v>44918.42</v>
      </c>
      <c r="M350">
        <v>350</v>
      </c>
      <c r="N350">
        <v>352</v>
      </c>
      <c r="O350" t="s">
        <v>93</v>
      </c>
      <c r="P350">
        <v>1</v>
      </c>
      <c r="Q350" t="s">
        <v>626</v>
      </c>
    </row>
    <row r="351" spans="3:17" hidden="1" x14ac:dyDescent="0.25">
      <c r="D351" t="s">
        <v>613</v>
      </c>
      <c r="I351">
        <v>352</v>
      </c>
      <c r="J351">
        <v>0.59583333333333333</v>
      </c>
      <c r="K351" s="1">
        <v>44918.42</v>
      </c>
      <c r="L351" s="1">
        <v>44918.660069444442</v>
      </c>
      <c r="M351">
        <v>351</v>
      </c>
      <c r="N351">
        <v>353</v>
      </c>
      <c r="O351" t="s">
        <v>93</v>
      </c>
      <c r="P351">
        <v>1</v>
      </c>
      <c r="Q351" t="s">
        <v>626</v>
      </c>
    </row>
    <row r="352" spans="3:17" hidden="1" x14ac:dyDescent="0.25">
      <c r="D352" t="s">
        <v>614</v>
      </c>
      <c r="I352">
        <v>353</v>
      </c>
      <c r="J352">
        <v>5</v>
      </c>
      <c r="K352" s="1">
        <v>44918.660069444442</v>
      </c>
      <c r="L352" s="1">
        <v>44925.660069444442</v>
      </c>
      <c r="M352">
        <v>352</v>
      </c>
      <c r="O352" t="s">
        <v>93</v>
      </c>
      <c r="P352">
        <v>1</v>
      </c>
      <c r="Q352" t="s">
        <v>626</v>
      </c>
    </row>
    <row r="353" spans="2:17" s="2" customFormat="1" hidden="1" x14ac:dyDescent="0.25">
      <c r="C353" s="2" t="s">
        <v>615</v>
      </c>
      <c r="I353" s="2">
        <v>354</v>
      </c>
      <c r="J353" s="2">
        <v>98</v>
      </c>
      <c r="K353" s="3">
        <v>44823.375</v>
      </c>
      <c r="L353" s="3">
        <v>44958.75</v>
      </c>
      <c r="P353" s="2">
        <v>1</v>
      </c>
      <c r="Q353" s="2" t="s">
        <v>626</v>
      </c>
    </row>
    <row r="354" spans="2:17" hidden="1" x14ac:dyDescent="0.25">
      <c r="D354" t="s">
        <v>203</v>
      </c>
      <c r="I354">
        <v>355</v>
      </c>
      <c r="J354">
        <v>35</v>
      </c>
      <c r="K354" s="1">
        <v>44823.375</v>
      </c>
      <c r="L354" s="1">
        <v>44869.75</v>
      </c>
      <c r="N354">
        <v>357</v>
      </c>
      <c r="P354">
        <v>1</v>
      </c>
      <c r="Q354" t="s">
        <v>626</v>
      </c>
    </row>
    <row r="355" spans="2:17" hidden="1" x14ac:dyDescent="0.25">
      <c r="D355" t="s">
        <v>204</v>
      </c>
      <c r="I355">
        <v>356</v>
      </c>
      <c r="J355">
        <v>19</v>
      </c>
      <c r="K355" s="1">
        <v>44866.375</v>
      </c>
      <c r="L355" s="1">
        <v>44890.75</v>
      </c>
      <c r="O355" t="s">
        <v>45</v>
      </c>
      <c r="P355">
        <v>1</v>
      </c>
      <c r="Q355" t="s">
        <v>626</v>
      </c>
    </row>
    <row r="356" spans="2:17" s="2" customFormat="1" hidden="1" x14ac:dyDescent="0.25">
      <c r="D356" s="2" t="s">
        <v>205</v>
      </c>
      <c r="I356" s="2">
        <v>357</v>
      </c>
      <c r="J356" s="2">
        <v>57</v>
      </c>
      <c r="K356" s="3">
        <v>44880.375</v>
      </c>
      <c r="L356" s="3">
        <v>44958.75</v>
      </c>
      <c r="M356" s="2">
        <v>355</v>
      </c>
      <c r="O356" s="2" t="s">
        <v>93</v>
      </c>
      <c r="P356" s="2">
        <v>1</v>
      </c>
      <c r="Q356" s="2" t="s">
        <v>626</v>
      </c>
    </row>
    <row r="357" spans="2:17" hidden="1" x14ac:dyDescent="0.25">
      <c r="E357" t="s">
        <v>206</v>
      </c>
      <c r="I357">
        <v>358</v>
      </c>
      <c r="J357">
        <v>19</v>
      </c>
      <c r="K357" s="1">
        <v>44880.375</v>
      </c>
      <c r="L357" s="1">
        <v>44904.75</v>
      </c>
      <c r="O357" t="s">
        <v>99</v>
      </c>
      <c r="P357">
        <v>1</v>
      </c>
      <c r="Q357" t="s">
        <v>626</v>
      </c>
    </row>
    <row r="358" spans="2:17" hidden="1" x14ac:dyDescent="0.25">
      <c r="E358" t="s">
        <v>207</v>
      </c>
      <c r="I358">
        <v>359</v>
      </c>
      <c r="J358">
        <v>10</v>
      </c>
      <c r="K358" s="1">
        <v>44897.375</v>
      </c>
      <c r="L358" s="1">
        <v>44910.75</v>
      </c>
      <c r="N358" t="s">
        <v>616</v>
      </c>
      <c r="O358" t="s">
        <v>45</v>
      </c>
      <c r="P358">
        <v>1</v>
      </c>
      <c r="Q358" t="s">
        <v>626</v>
      </c>
    </row>
    <row r="359" spans="2:17" hidden="1" x14ac:dyDescent="0.25">
      <c r="E359" t="s">
        <v>617</v>
      </c>
      <c r="I359">
        <v>360</v>
      </c>
      <c r="J359">
        <v>6</v>
      </c>
      <c r="K359" s="1">
        <v>44911.375</v>
      </c>
      <c r="L359" s="1">
        <v>44918.75</v>
      </c>
      <c r="M359">
        <v>359</v>
      </c>
      <c r="O359" t="s">
        <v>99</v>
      </c>
      <c r="P359">
        <v>1</v>
      </c>
      <c r="Q359" t="s">
        <v>626</v>
      </c>
    </row>
    <row r="360" spans="2:17" s="2" customFormat="1" hidden="1" x14ac:dyDescent="0.25">
      <c r="E360" s="2" t="s">
        <v>208</v>
      </c>
      <c r="I360" s="2">
        <v>361</v>
      </c>
      <c r="J360" s="2">
        <v>6</v>
      </c>
      <c r="K360" s="3">
        <v>44907.375</v>
      </c>
      <c r="L360" s="3">
        <v>44914.75</v>
      </c>
      <c r="O360" s="2" t="s">
        <v>99</v>
      </c>
      <c r="P360" s="2">
        <v>1</v>
      </c>
      <c r="Q360" s="2" t="s">
        <v>626</v>
      </c>
    </row>
    <row r="361" spans="2:17" hidden="1" x14ac:dyDescent="0.25">
      <c r="F361" t="s">
        <v>209</v>
      </c>
      <c r="I361">
        <v>362</v>
      </c>
      <c r="J361">
        <v>2</v>
      </c>
      <c r="K361" s="1">
        <v>44907.375</v>
      </c>
      <c r="L361" s="1">
        <v>44908.75</v>
      </c>
      <c r="M361">
        <v>359</v>
      </c>
      <c r="N361">
        <v>363</v>
      </c>
      <c r="O361" t="s">
        <v>99</v>
      </c>
      <c r="P361">
        <v>1</v>
      </c>
      <c r="Q361" t="s">
        <v>626</v>
      </c>
    </row>
    <row r="362" spans="2:17" hidden="1" x14ac:dyDescent="0.25">
      <c r="F362" t="s">
        <v>618</v>
      </c>
      <c r="I362">
        <v>363</v>
      </c>
      <c r="J362">
        <v>2.5</v>
      </c>
      <c r="K362" s="1">
        <v>44909.375</v>
      </c>
      <c r="L362" s="1">
        <v>44911.541666666664</v>
      </c>
      <c r="M362">
        <v>362</v>
      </c>
      <c r="N362">
        <v>364</v>
      </c>
      <c r="O362" t="s">
        <v>99</v>
      </c>
      <c r="P362">
        <v>1</v>
      </c>
      <c r="Q362" t="s">
        <v>626</v>
      </c>
    </row>
    <row r="363" spans="2:17" hidden="1" x14ac:dyDescent="0.25">
      <c r="F363" t="s">
        <v>619</v>
      </c>
      <c r="I363">
        <v>364</v>
      </c>
      <c r="J363">
        <v>1.5</v>
      </c>
      <c r="K363" s="1">
        <v>44911.583333333336</v>
      </c>
      <c r="L363" s="1">
        <v>44914.75</v>
      </c>
      <c r="M363">
        <v>363</v>
      </c>
      <c r="O363" t="s">
        <v>99</v>
      </c>
      <c r="P363">
        <v>1</v>
      </c>
      <c r="Q363" t="s">
        <v>626</v>
      </c>
    </row>
    <row r="364" spans="2:17" hidden="1" x14ac:dyDescent="0.25">
      <c r="E364" t="s">
        <v>620</v>
      </c>
      <c r="I364">
        <v>365</v>
      </c>
      <c r="J364">
        <v>10</v>
      </c>
      <c r="K364" s="1">
        <v>44924.375</v>
      </c>
      <c r="L364" s="1">
        <v>44937.75</v>
      </c>
      <c r="N364" t="s">
        <v>621</v>
      </c>
      <c r="O364" t="s">
        <v>45</v>
      </c>
      <c r="P364">
        <v>1</v>
      </c>
      <c r="Q364" t="s">
        <v>626</v>
      </c>
    </row>
    <row r="365" spans="2:17" hidden="1" x14ac:dyDescent="0.25">
      <c r="E365" t="s">
        <v>622</v>
      </c>
      <c r="I365">
        <v>366</v>
      </c>
      <c r="J365">
        <v>15</v>
      </c>
      <c r="K365" s="1">
        <v>44938.375</v>
      </c>
      <c r="L365" s="1">
        <v>44958.75</v>
      </c>
      <c r="M365" t="s">
        <v>623</v>
      </c>
      <c r="O365" t="s">
        <v>59</v>
      </c>
      <c r="P365">
        <v>1</v>
      </c>
      <c r="Q365" t="s">
        <v>626</v>
      </c>
    </row>
    <row r="366" spans="2:17" hidden="1" x14ac:dyDescent="0.25">
      <c r="E366" t="s">
        <v>624</v>
      </c>
      <c r="I366">
        <v>367</v>
      </c>
      <c r="J366">
        <v>10</v>
      </c>
      <c r="K366" s="1">
        <v>44938.375</v>
      </c>
      <c r="L366" s="1">
        <v>44951.75</v>
      </c>
      <c r="M366">
        <v>365</v>
      </c>
      <c r="O366" t="s">
        <v>599</v>
      </c>
      <c r="P366">
        <v>1</v>
      </c>
      <c r="Q366" t="s">
        <v>626</v>
      </c>
    </row>
    <row r="367" spans="2:17" s="2" customFormat="1" x14ac:dyDescent="0.25">
      <c r="B367" s="2" t="s">
        <v>285</v>
      </c>
      <c r="I367" s="2">
        <v>368</v>
      </c>
      <c r="J367" s="2">
        <v>265</v>
      </c>
      <c r="K367" s="3">
        <v>44886.375</v>
      </c>
      <c r="L367" s="3">
        <v>45257.375</v>
      </c>
      <c r="P367" s="2">
        <v>0</v>
      </c>
      <c r="Q367" s="2" t="s">
        <v>626</v>
      </c>
    </row>
    <row r="368" spans="2:17" s="2" customFormat="1" x14ac:dyDescent="0.25">
      <c r="C368" s="2" t="s">
        <v>286</v>
      </c>
      <c r="I368" s="2">
        <v>369</v>
      </c>
      <c r="J368" s="2">
        <v>70</v>
      </c>
      <c r="K368" s="3">
        <v>44886.375</v>
      </c>
      <c r="L368" s="3">
        <v>44984.375</v>
      </c>
      <c r="P368" s="2">
        <v>0</v>
      </c>
      <c r="Q368" s="2" t="s">
        <v>626</v>
      </c>
    </row>
    <row r="369" spans="3:17" hidden="1" x14ac:dyDescent="0.25">
      <c r="D369" t="s">
        <v>287</v>
      </c>
      <c r="I369">
        <v>370</v>
      </c>
      <c r="J369">
        <v>0</v>
      </c>
      <c r="K369" s="1">
        <v>44886.375</v>
      </c>
      <c r="L369" s="1">
        <v>44886.375</v>
      </c>
      <c r="P369">
        <v>1</v>
      </c>
      <c r="Q369" t="s">
        <v>626</v>
      </c>
    </row>
    <row r="370" spans="3:17" hidden="1" x14ac:dyDescent="0.25">
      <c r="D370" t="s">
        <v>288</v>
      </c>
      <c r="I370">
        <v>371</v>
      </c>
      <c r="J370">
        <v>0</v>
      </c>
      <c r="K370" s="1">
        <v>44893.375</v>
      </c>
      <c r="L370" s="1">
        <v>44893.375</v>
      </c>
      <c r="P370">
        <v>1</v>
      </c>
      <c r="Q370" t="s">
        <v>626</v>
      </c>
    </row>
    <row r="371" spans="3:17" hidden="1" x14ac:dyDescent="0.25">
      <c r="D371" t="s">
        <v>289</v>
      </c>
      <c r="I371">
        <v>372</v>
      </c>
      <c r="J371">
        <v>0</v>
      </c>
      <c r="K371" s="1">
        <v>44886.375</v>
      </c>
      <c r="L371" s="1">
        <v>44886.375</v>
      </c>
      <c r="P371">
        <v>1</v>
      </c>
      <c r="Q371" t="s">
        <v>626</v>
      </c>
    </row>
    <row r="372" spans="3:17" hidden="1" x14ac:dyDescent="0.25">
      <c r="D372" t="s">
        <v>290</v>
      </c>
      <c r="I372">
        <v>373</v>
      </c>
      <c r="J372">
        <v>0</v>
      </c>
      <c r="K372" s="1">
        <v>44893.375</v>
      </c>
      <c r="L372" s="1">
        <v>44893.375</v>
      </c>
      <c r="P372">
        <v>1</v>
      </c>
      <c r="Q372" t="s">
        <v>626</v>
      </c>
    </row>
    <row r="373" spans="3:17" hidden="1" x14ac:dyDescent="0.25">
      <c r="D373" t="s">
        <v>291</v>
      </c>
      <c r="I373">
        <v>374</v>
      </c>
      <c r="J373">
        <v>0</v>
      </c>
      <c r="K373" s="1">
        <v>44893.375</v>
      </c>
      <c r="L373" s="1">
        <v>44893.375</v>
      </c>
      <c r="P373">
        <v>1</v>
      </c>
      <c r="Q373" t="s">
        <v>626</v>
      </c>
    </row>
    <row r="374" spans="3:17" hidden="1" x14ac:dyDescent="0.25">
      <c r="D374" t="s">
        <v>292</v>
      </c>
      <c r="I374">
        <v>375</v>
      </c>
      <c r="J374">
        <v>0</v>
      </c>
      <c r="K374" s="1">
        <v>44893.375</v>
      </c>
      <c r="L374" s="1">
        <v>44893.375</v>
      </c>
      <c r="P374">
        <v>1</v>
      </c>
      <c r="Q374" t="s">
        <v>626</v>
      </c>
    </row>
    <row r="375" spans="3:17" hidden="1" x14ac:dyDescent="0.25">
      <c r="D375" t="s">
        <v>293</v>
      </c>
      <c r="I375">
        <v>376</v>
      </c>
      <c r="J375">
        <v>0</v>
      </c>
      <c r="K375" s="1">
        <v>44907.375</v>
      </c>
      <c r="L375" s="1">
        <v>44907.375</v>
      </c>
      <c r="P375">
        <v>1</v>
      </c>
      <c r="Q375" t="s">
        <v>626</v>
      </c>
    </row>
    <row r="376" spans="3:17" x14ac:dyDescent="0.25">
      <c r="D376" t="s">
        <v>294</v>
      </c>
      <c r="I376">
        <v>377</v>
      </c>
      <c r="J376">
        <v>0</v>
      </c>
      <c r="K376" s="1">
        <v>44984.375</v>
      </c>
      <c r="L376" s="1">
        <v>44984.375</v>
      </c>
      <c r="P376">
        <v>0</v>
      </c>
      <c r="Q376" t="s">
        <v>626</v>
      </c>
    </row>
    <row r="377" spans="3:17" x14ac:dyDescent="0.25">
      <c r="D377" t="s">
        <v>295</v>
      </c>
      <c r="I377">
        <v>378</v>
      </c>
      <c r="J377">
        <v>0</v>
      </c>
      <c r="K377" s="1">
        <v>44984.375</v>
      </c>
      <c r="L377" s="1">
        <v>44984.375</v>
      </c>
      <c r="P377">
        <v>0</v>
      </c>
      <c r="Q377" t="s">
        <v>626</v>
      </c>
    </row>
    <row r="378" spans="3:17" x14ac:dyDescent="0.25">
      <c r="D378" t="s">
        <v>296</v>
      </c>
      <c r="I378">
        <v>379</v>
      </c>
      <c r="J378">
        <v>0</v>
      </c>
      <c r="K378" s="1">
        <v>44984.375</v>
      </c>
      <c r="L378" s="1">
        <v>44984.375</v>
      </c>
      <c r="P378">
        <v>0</v>
      </c>
      <c r="Q378" t="s">
        <v>626</v>
      </c>
    </row>
    <row r="379" spans="3:17" x14ac:dyDescent="0.25">
      <c r="D379" t="s">
        <v>297</v>
      </c>
      <c r="I379">
        <v>380</v>
      </c>
      <c r="J379">
        <v>0</v>
      </c>
      <c r="K379" s="1">
        <v>44984.375</v>
      </c>
      <c r="L379" s="1">
        <v>44984.375</v>
      </c>
      <c r="P379">
        <v>0</v>
      </c>
      <c r="Q379" t="s">
        <v>626</v>
      </c>
    </row>
    <row r="380" spans="3:17" x14ac:dyDescent="0.25">
      <c r="D380" t="s">
        <v>298</v>
      </c>
      <c r="I380">
        <v>381</v>
      </c>
      <c r="J380">
        <v>0</v>
      </c>
      <c r="K380" s="1">
        <v>44984.375</v>
      </c>
      <c r="L380" s="1">
        <v>44984.375</v>
      </c>
      <c r="P380">
        <v>0</v>
      </c>
      <c r="Q380" t="s">
        <v>626</v>
      </c>
    </row>
    <row r="381" spans="3:17" x14ac:dyDescent="0.25">
      <c r="D381" t="s">
        <v>299</v>
      </c>
      <c r="I381">
        <v>382</v>
      </c>
      <c r="J381">
        <v>0</v>
      </c>
      <c r="K381" s="1">
        <v>44984.375</v>
      </c>
      <c r="L381" s="1">
        <v>44984.375</v>
      </c>
      <c r="P381">
        <v>0</v>
      </c>
      <c r="Q381" t="s">
        <v>626</v>
      </c>
    </row>
    <row r="382" spans="3:17" x14ac:dyDescent="0.25">
      <c r="C382" t="s">
        <v>300</v>
      </c>
      <c r="I382">
        <v>383</v>
      </c>
      <c r="J382">
        <v>0</v>
      </c>
      <c r="K382" s="1">
        <v>45075.375</v>
      </c>
      <c r="L382" s="1">
        <v>45075.375</v>
      </c>
      <c r="P382">
        <v>0</v>
      </c>
      <c r="Q382" t="s">
        <v>626</v>
      </c>
    </row>
    <row r="383" spans="3:17" x14ac:dyDescent="0.25">
      <c r="C383" t="s">
        <v>301</v>
      </c>
      <c r="I383">
        <v>384</v>
      </c>
      <c r="J383">
        <v>0</v>
      </c>
      <c r="K383" s="1">
        <v>45075.375</v>
      </c>
      <c r="L383" s="1">
        <v>45075.375</v>
      </c>
      <c r="P383">
        <v>0</v>
      </c>
      <c r="Q383" t="s">
        <v>626</v>
      </c>
    </row>
    <row r="384" spans="3:17" s="2" customFormat="1" x14ac:dyDescent="0.25">
      <c r="C384" s="2" t="s">
        <v>302</v>
      </c>
      <c r="I384" s="2">
        <v>385</v>
      </c>
      <c r="J384" s="2">
        <v>0</v>
      </c>
      <c r="K384" s="3">
        <v>45167.375</v>
      </c>
      <c r="L384" s="3">
        <v>45167.375</v>
      </c>
      <c r="P384" s="2">
        <v>0</v>
      </c>
      <c r="Q384" s="2" t="s">
        <v>626</v>
      </c>
    </row>
    <row r="385" spans="3:17" x14ac:dyDescent="0.25">
      <c r="D385" t="s">
        <v>303</v>
      </c>
      <c r="I385">
        <v>386</v>
      </c>
      <c r="J385">
        <v>0</v>
      </c>
      <c r="K385" s="1">
        <v>45167.375</v>
      </c>
      <c r="L385" s="1">
        <v>45167.375</v>
      </c>
      <c r="P385">
        <v>0</v>
      </c>
      <c r="Q385" t="s">
        <v>626</v>
      </c>
    </row>
    <row r="386" spans="3:17" x14ac:dyDescent="0.25">
      <c r="D386" t="s">
        <v>304</v>
      </c>
      <c r="I386">
        <v>387</v>
      </c>
      <c r="J386">
        <v>0</v>
      </c>
      <c r="K386" s="1">
        <v>45167.375</v>
      </c>
      <c r="L386" s="1">
        <v>45167.375</v>
      </c>
      <c r="P386">
        <v>0</v>
      </c>
      <c r="Q386" t="s">
        <v>626</v>
      </c>
    </row>
    <row r="387" spans="3:17" x14ac:dyDescent="0.25">
      <c r="D387" t="s">
        <v>305</v>
      </c>
      <c r="I387">
        <v>388</v>
      </c>
      <c r="J387">
        <v>0</v>
      </c>
      <c r="K387" s="1">
        <v>45167.375</v>
      </c>
      <c r="L387" s="1">
        <v>45167.375</v>
      </c>
      <c r="P387">
        <v>0</v>
      </c>
      <c r="Q387" t="s">
        <v>626</v>
      </c>
    </row>
    <row r="388" spans="3:17" x14ac:dyDescent="0.25">
      <c r="D388" t="s">
        <v>306</v>
      </c>
      <c r="I388">
        <v>389</v>
      </c>
      <c r="J388">
        <v>0</v>
      </c>
      <c r="K388" s="1">
        <v>45167.375</v>
      </c>
      <c r="L388" s="1">
        <v>45167.375</v>
      </c>
      <c r="P388">
        <v>0</v>
      </c>
      <c r="Q388" t="s">
        <v>626</v>
      </c>
    </row>
    <row r="389" spans="3:17" x14ac:dyDescent="0.25">
      <c r="D389" t="s">
        <v>307</v>
      </c>
      <c r="I389">
        <v>390</v>
      </c>
      <c r="J389">
        <v>0</v>
      </c>
      <c r="K389" s="1">
        <v>45167.375</v>
      </c>
      <c r="L389" s="1">
        <v>45167.375</v>
      </c>
      <c r="P389">
        <v>0</v>
      </c>
      <c r="Q389" t="s">
        <v>626</v>
      </c>
    </row>
    <row r="390" spans="3:17" x14ac:dyDescent="0.25">
      <c r="D390" t="s">
        <v>308</v>
      </c>
      <c r="I390">
        <v>391</v>
      </c>
      <c r="J390">
        <v>0</v>
      </c>
      <c r="K390" s="1">
        <v>45167.375</v>
      </c>
      <c r="L390" s="1">
        <v>45167.375</v>
      </c>
      <c r="P390">
        <v>0</v>
      </c>
      <c r="Q390" t="s">
        <v>626</v>
      </c>
    </row>
    <row r="391" spans="3:17" x14ac:dyDescent="0.25">
      <c r="D391" t="s">
        <v>309</v>
      </c>
      <c r="I391">
        <v>392</v>
      </c>
      <c r="J391">
        <v>0</v>
      </c>
      <c r="K391" s="1">
        <v>45167.375</v>
      </c>
      <c r="L391" s="1">
        <v>45167.375</v>
      </c>
      <c r="P391">
        <v>0</v>
      </c>
      <c r="Q391" t="s">
        <v>626</v>
      </c>
    </row>
    <row r="392" spans="3:17" x14ac:dyDescent="0.25">
      <c r="D392" t="s">
        <v>310</v>
      </c>
      <c r="I392">
        <v>393</v>
      </c>
      <c r="J392">
        <v>0</v>
      </c>
      <c r="K392" s="1">
        <v>45167.375</v>
      </c>
      <c r="L392" s="1">
        <v>45167.375</v>
      </c>
      <c r="P392">
        <v>0</v>
      </c>
      <c r="Q392" t="s">
        <v>626</v>
      </c>
    </row>
    <row r="393" spans="3:17" x14ac:dyDescent="0.25">
      <c r="C393" t="s">
        <v>311</v>
      </c>
      <c r="I393">
        <v>394</v>
      </c>
      <c r="J393">
        <v>0</v>
      </c>
      <c r="K393" s="1">
        <v>45167.375</v>
      </c>
      <c r="L393" s="1">
        <v>45167.375</v>
      </c>
      <c r="P393">
        <v>0</v>
      </c>
      <c r="Q393" t="s">
        <v>626</v>
      </c>
    </row>
    <row r="394" spans="3:17" x14ac:dyDescent="0.25">
      <c r="C394" t="s">
        <v>120</v>
      </c>
      <c r="I394">
        <v>395</v>
      </c>
      <c r="J394">
        <v>0</v>
      </c>
      <c r="K394" s="1">
        <v>45166.375</v>
      </c>
      <c r="L394" s="1">
        <v>45166.375</v>
      </c>
      <c r="P394">
        <v>0</v>
      </c>
      <c r="Q394" t="s">
        <v>626</v>
      </c>
    </row>
    <row r="395" spans="3:17" x14ac:dyDescent="0.25">
      <c r="C395" t="s">
        <v>312</v>
      </c>
      <c r="I395">
        <v>396</v>
      </c>
      <c r="J395">
        <v>0</v>
      </c>
      <c r="K395" s="1">
        <v>45257.375</v>
      </c>
      <c r="L395" s="1">
        <v>45257.375</v>
      </c>
      <c r="P395">
        <v>0</v>
      </c>
      <c r="Q395" t="s">
        <v>626</v>
      </c>
    </row>
  </sheetData>
  <autoFilter ref="A1:Q395" xr:uid="{C222B6F5-E661-467E-B67E-8337DBFC9E08}">
    <filterColumn colId="15">
      <filters>
        <filter val="0"/>
        <filter val="0,12"/>
        <filter val="0,21"/>
        <filter val="0,25"/>
        <filter val="0,28"/>
        <filter val="0,35"/>
        <filter val="0,45"/>
        <filter val="0,5"/>
        <filter val="0,55"/>
        <filter val="0,67"/>
        <filter val="0,81"/>
        <filter val="0,85"/>
        <filter val="0,9"/>
        <filter val="0,91"/>
        <filter val="0,92"/>
        <filter val="0,97"/>
      </filters>
    </filterColumn>
    <filterColumn colId="16">
      <filters>
        <filter val="КПГП ЭД 2.0 МПМ АИС ГИН (ПКНД) BASELINE"/>
      </filters>
    </filterColumn>
  </autoFilter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E9D8ED-1A4F-48B3-9A2D-B5502897D2AD}">
  <sheetPr codeName="Лист13"/>
  <dimension ref="A1:U70"/>
  <sheetViews>
    <sheetView tabSelected="1" zoomScale="85" zoomScaleNormal="85" workbookViewId="0">
      <selection activeCell="W5" sqref="W5"/>
    </sheetView>
  </sheetViews>
  <sheetFormatPr defaultRowHeight="15" x14ac:dyDescent="0.25"/>
  <cols>
    <col min="1" max="1" width="10.7109375" style="89" bestFit="1" customWidth="1"/>
    <col min="4" max="4" width="56.28515625" customWidth="1"/>
    <col min="5" max="5" width="9.140625" style="15"/>
    <col min="6" max="7" width="9.140625" style="16"/>
    <col min="8" max="8" width="15.28515625" style="16" bestFit="1" customWidth="1"/>
    <col min="9" max="9" width="15.5703125" style="16" bestFit="1" customWidth="1"/>
    <col min="10" max="10" width="5.28515625" style="16" customWidth="1"/>
    <col min="11" max="11" width="7.85546875" style="16" customWidth="1"/>
    <col min="12" max="12" width="9.140625" style="16"/>
    <col min="14" max="14" width="25.28515625" customWidth="1"/>
    <col min="18" max="18" width="9.140625" style="10"/>
  </cols>
  <sheetData>
    <row r="1" spans="1:21" s="25" customFormat="1" ht="16.5" thickTop="1" thickBot="1" x14ac:dyDescent="0.3">
      <c r="A1" s="85"/>
      <c r="B1" s="25" t="s">
        <v>733</v>
      </c>
      <c r="E1" s="26">
        <v>1</v>
      </c>
      <c r="F1" s="25">
        <f>F11</f>
        <v>10512.959499999999</v>
      </c>
      <c r="G1" s="25">
        <f>G11</f>
        <v>778</v>
      </c>
      <c r="H1" s="92">
        <f>H2</f>
        <v>44779.375</v>
      </c>
      <c r="I1" s="92">
        <f>I2</f>
        <v>45868</v>
      </c>
      <c r="J1" s="93" t="s">
        <v>735</v>
      </c>
      <c r="K1" s="94" t="s">
        <v>736</v>
      </c>
      <c r="O1" s="25" t="s">
        <v>716</v>
      </c>
      <c r="R1" s="14" t="s">
        <v>734</v>
      </c>
      <c r="S1" s="12">
        <v>10786</v>
      </c>
      <c r="T1"/>
      <c r="U1">
        <f>160*3</f>
        <v>480</v>
      </c>
    </row>
    <row r="2" spans="1:21" s="22" customFormat="1" ht="16.5" thickTop="1" thickBot="1" x14ac:dyDescent="0.3">
      <c r="A2" s="85"/>
      <c r="C2" s="22" t="s">
        <v>632</v>
      </c>
      <c r="E2" s="23">
        <v>2</v>
      </c>
      <c r="F2" s="22">
        <v>0</v>
      </c>
      <c r="G2" s="22">
        <f>NETWORKDAYS(H2,I2)</f>
        <v>778</v>
      </c>
      <c r="H2" s="13">
        <v>44779.375</v>
      </c>
      <c r="I2" s="71">
        <f>MAX(I3:I11)</f>
        <v>45868</v>
      </c>
      <c r="J2" s="93" t="s">
        <v>735</v>
      </c>
      <c r="K2" s="94" t="s">
        <v>736</v>
      </c>
      <c r="O2" s="22" t="s">
        <v>716</v>
      </c>
      <c r="R2" s="24"/>
    </row>
    <row r="3" spans="1:21" ht="15.75" thickTop="1" x14ac:dyDescent="0.25">
      <c r="A3" s="86"/>
      <c r="D3" s="69" t="s">
        <v>466</v>
      </c>
      <c r="E3" s="15">
        <v>3</v>
      </c>
      <c r="F3" s="16">
        <v>0</v>
      </c>
      <c r="G3" s="16">
        <v>0</v>
      </c>
      <c r="H3" s="90">
        <f t="shared" ref="H3:H10" si="0">I3</f>
        <v>44779.375</v>
      </c>
      <c r="I3" s="77">
        <f>H2</f>
        <v>44779.375</v>
      </c>
      <c r="J3" s="93" t="s">
        <v>735</v>
      </c>
      <c r="K3" s="94" t="s">
        <v>736</v>
      </c>
      <c r="M3">
        <v>13</v>
      </c>
      <c r="O3" s="11" t="s">
        <v>726</v>
      </c>
    </row>
    <row r="4" spans="1:21" x14ac:dyDescent="0.25">
      <c r="A4" s="87"/>
      <c r="D4" s="82" t="s">
        <v>633</v>
      </c>
      <c r="E4" s="15">
        <v>4</v>
      </c>
      <c r="F4" s="16">
        <v>0</v>
      </c>
      <c r="G4" s="16">
        <v>0</v>
      </c>
      <c r="H4" s="90">
        <f t="shared" si="0"/>
        <v>44803</v>
      </c>
      <c r="I4" s="78">
        <f t="shared" ref="I4:I10" si="1">VLOOKUP(L4,$E$1:$I$103,5,FALSE)</f>
        <v>44803</v>
      </c>
      <c r="J4" s="93" t="s">
        <v>735</v>
      </c>
      <c r="K4" s="94" t="s">
        <v>736</v>
      </c>
      <c r="L4" s="16">
        <v>12</v>
      </c>
      <c r="O4" s="11" t="s">
        <v>727</v>
      </c>
    </row>
    <row r="5" spans="1:21" s="36" customFormat="1" x14ac:dyDescent="0.25">
      <c r="A5" s="86"/>
      <c r="D5" s="83" t="s">
        <v>634</v>
      </c>
      <c r="E5" s="37">
        <v>5</v>
      </c>
      <c r="F5" s="38">
        <v>0</v>
      </c>
      <c r="G5" s="38">
        <v>0</v>
      </c>
      <c r="H5" s="91">
        <f t="shared" si="0"/>
        <v>44820</v>
      </c>
      <c r="I5" s="79">
        <f t="shared" si="1"/>
        <v>44820</v>
      </c>
      <c r="J5" s="93" t="s">
        <v>735</v>
      </c>
      <c r="K5" s="94" t="s">
        <v>736</v>
      </c>
      <c r="L5" s="38">
        <v>21</v>
      </c>
      <c r="O5" s="40" t="s">
        <v>728</v>
      </c>
      <c r="R5" s="41"/>
    </row>
    <row r="6" spans="1:21" s="36" customFormat="1" x14ac:dyDescent="0.25">
      <c r="A6" s="86"/>
      <c r="D6" s="70" t="s">
        <v>635</v>
      </c>
      <c r="E6" s="37">
        <v>6</v>
      </c>
      <c r="F6" s="38">
        <v>0</v>
      </c>
      <c r="G6" s="38">
        <v>0</v>
      </c>
      <c r="H6" s="91">
        <f t="shared" si="0"/>
        <v>44848</v>
      </c>
      <c r="I6" s="76">
        <f t="shared" si="1"/>
        <v>44848</v>
      </c>
      <c r="J6" s="93" t="s">
        <v>735</v>
      </c>
      <c r="K6" s="94" t="s">
        <v>736</v>
      </c>
      <c r="L6" s="38">
        <v>22</v>
      </c>
      <c r="O6" s="36" t="s">
        <v>716</v>
      </c>
      <c r="R6" s="41"/>
    </row>
    <row r="7" spans="1:21" s="36" customFormat="1" x14ac:dyDescent="0.25">
      <c r="A7" s="86"/>
      <c r="D7" s="80" t="s">
        <v>636</v>
      </c>
      <c r="E7" s="37">
        <v>7</v>
      </c>
      <c r="F7" s="38">
        <v>0</v>
      </c>
      <c r="G7" s="38">
        <v>0</v>
      </c>
      <c r="H7" s="91">
        <f t="shared" si="0"/>
        <v>44880</v>
      </c>
      <c r="I7" s="75">
        <f t="shared" si="1"/>
        <v>44880</v>
      </c>
      <c r="J7" s="93" t="s">
        <v>735</v>
      </c>
      <c r="K7" s="94" t="s">
        <v>736</v>
      </c>
      <c r="L7" s="38">
        <v>25</v>
      </c>
      <c r="O7" s="36" t="s">
        <v>716</v>
      </c>
      <c r="R7" s="41"/>
    </row>
    <row r="8" spans="1:21" s="36" customFormat="1" x14ac:dyDescent="0.25">
      <c r="A8" s="86"/>
      <c r="D8" s="70" t="s">
        <v>637</v>
      </c>
      <c r="E8" s="37">
        <v>8</v>
      </c>
      <c r="F8" s="38">
        <v>0</v>
      </c>
      <c r="G8" s="38">
        <v>0</v>
      </c>
      <c r="H8" s="91">
        <f t="shared" si="0"/>
        <v>45197</v>
      </c>
      <c r="I8" s="72">
        <f t="shared" si="1"/>
        <v>45197</v>
      </c>
      <c r="J8" s="93" t="s">
        <v>735</v>
      </c>
      <c r="K8" s="94" t="s">
        <v>736</v>
      </c>
      <c r="L8" s="38">
        <v>32</v>
      </c>
      <c r="O8" s="36" t="s">
        <v>716</v>
      </c>
      <c r="R8" s="41"/>
    </row>
    <row r="9" spans="1:21" s="36" customFormat="1" x14ac:dyDescent="0.25">
      <c r="A9" s="86"/>
      <c r="D9" s="81" t="s">
        <v>638</v>
      </c>
      <c r="E9" s="37">
        <v>9</v>
      </c>
      <c r="F9" s="38">
        <v>0</v>
      </c>
      <c r="G9" s="38">
        <v>0</v>
      </c>
      <c r="H9" s="91">
        <f t="shared" si="0"/>
        <v>45761</v>
      </c>
      <c r="I9" s="73">
        <f t="shared" si="1"/>
        <v>45761</v>
      </c>
      <c r="J9" s="93" t="s">
        <v>735</v>
      </c>
      <c r="K9" s="94" t="s">
        <v>736</v>
      </c>
      <c r="L9" s="38">
        <v>35</v>
      </c>
      <c r="O9" s="36" t="s">
        <v>716</v>
      </c>
      <c r="R9" s="41"/>
    </row>
    <row r="10" spans="1:21" s="36" customFormat="1" x14ac:dyDescent="0.25">
      <c r="A10" s="86"/>
      <c r="D10" s="70" t="s">
        <v>639</v>
      </c>
      <c r="E10" s="37">
        <v>10</v>
      </c>
      <c r="F10" s="38">
        <v>0</v>
      </c>
      <c r="G10" s="38">
        <v>0</v>
      </c>
      <c r="H10" s="91">
        <f t="shared" si="0"/>
        <v>45868</v>
      </c>
      <c r="I10" s="74">
        <f t="shared" si="1"/>
        <v>45868</v>
      </c>
      <c r="J10" s="93" t="s">
        <v>735</v>
      </c>
      <c r="K10" s="94" t="s">
        <v>736</v>
      </c>
      <c r="L10" s="38">
        <v>41</v>
      </c>
      <c r="O10" s="36" t="s">
        <v>716</v>
      </c>
      <c r="R10" s="41"/>
    </row>
    <row r="11" spans="1:21" s="42" customFormat="1" x14ac:dyDescent="0.25">
      <c r="A11" s="88"/>
      <c r="B11" s="42" t="s">
        <v>640</v>
      </c>
      <c r="E11" s="43">
        <v>11</v>
      </c>
      <c r="F11" s="42">
        <f>SUM(F12,F18,F22,F25,F32,F35,F41)</f>
        <v>10512.959499999999</v>
      </c>
      <c r="G11" s="42">
        <f>NETWORKDAYS(H11,I11)</f>
        <v>778</v>
      </c>
      <c r="H11" s="44">
        <f>MIN(H12:H36)</f>
        <v>44779.375</v>
      </c>
      <c r="I11" s="45">
        <f>MAX(I12:I70)</f>
        <v>45868</v>
      </c>
      <c r="J11" s="93" t="s">
        <v>735</v>
      </c>
      <c r="K11" s="94" t="s">
        <v>736</v>
      </c>
      <c r="O11" s="42" t="s">
        <v>716</v>
      </c>
      <c r="R11" s="46"/>
    </row>
    <row r="12" spans="1:21" s="47" customFormat="1" x14ac:dyDescent="0.25">
      <c r="A12" s="85"/>
      <c r="C12" s="47" t="s">
        <v>641</v>
      </c>
      <c r="E12" s="48">
        <v>12</v>
      </c>
      <c r="F12" s="47">
        <f>SUM(F13:F17)</f>
        <v>115.63</v>
      </c>
      <c r="G12" s="47">
        <f>NETWORKDAYS(H12,I12)</f>
        <v>17</v>
      </c>
      <c r="H12" s="49">
        <f>MIN(H13:H17)</f>
        <v>44779.375</v>
      </c>
      <c r="I12" s="49">
        <f>MAX(I13:I17)</f>
        <v>44803</v>
      </c>
      <c r="J12" s="93" t="s">
        <v>735</v>
      </c>
      <c r="K12" s="94" t="s">
        <v>736</v>
      </c>
      <c r="M12" s="47">
        <v>4</v>
      </c>
      <c r="O12" s="50">
        <v>0.1</v>
      </c>
      <c r="R12" s="51">
        <v>0.1</v>
      </c>
      <c r="S12" s="47">
        <f>R12*EST</f>
        <v>1078.6000000000001</v>
      </c>
      <c r="T12" s="52">
        <f>(S12-F12)/EST</f>
        <v>8.9279621731874662E-2</v>
      </c>
    </row>
    <row r="13" spans="1:21" s="36" customFormat="1" x14ac:dyDescent="0.25">
      <c r="A13" s="86"/>
      <c r="D13" s="36" t="s">
        <v>642</v>
      </c>
      <c r="E13" s="37">
        <v>13</v>
      </c>
      <c r="F13" s="38">
        <v>24.029999999999998</v>
      </c>
      <c r="G13" s="38">
        <v>3.0041666666666669</v>
      </c>
      <c r="H13" s="39">
        <f>VLOOKUP(L13,$E$1:$I$103,5,FALSE)</f>
        <v>44779.375</v>
      </c>
      <c r="I13" s="53">
        <f t="shared" ref="I13:I21" si="2">WORKDAY(H13,ROUND(G13,0))</f>
        <v>44783</v>
      </c>
      <c r="J13" s="93" t="s">
        <v>735</v>
      </c>
      <c r="K13" s="94" t="s">
        <v>736</v>
      </c>
      <c r="L13" s="38">
        <v>3</v>
      </c>
      <c r="M13" s="36">
        <v>14</v>
      </c>
      <c r="N13" s="36" t="s">
        <v>643</v>
      </c>
      <c r="O13" s="36" t="s">
        <v>716</v>
      </c>
      <c r="R13" s="41"/>
    </row>
    <row r="14" spans="1:21" s="36" customFormat="1" x14ac:dyDescent="0.25">
      <c r="A14" s="86"/>
      <c r="D14" s="36" t="s">
        <v>644</v>
      </c>
      <c r="E14" s="37">
        <v>14</v>
      </c>
      <c r="F14" s="38">
        <v>16</v>
      </c>
      <c r="G14" s="38">
        <v>2</v>
      </c>
      <c r="H14" s="39">
        <f>VLOOKUP(L14,$E$1:$I$103,5,FALSE)</f>
        <v>44783</v>
      </c>
      <c r="I14" s="53">
        <f t="shared" si="2"/>
        <v>44785</v>
      </c>
      <c r="J14" s="93" t="s">
        <v>735</v>
      </c>
      <c r="K14" s="94" t="s">
        <v>736</v>
      </c>
      <c r="L14" s="38">
        <v>13</v>
      </c>
      <c r="M14" s="36">
        <v>15</v>
      </c>
      <c r="N14" s="36" t="s">
        <v>643</v>
      </c>
      <c r="O14" s="36" t="s">
        <v>716</v>
      </c>
      <c r="R14" s="41"/>
    </row>
    <row r="15" spans="1:21" s="36" customFormat="1" x14ac:dyDescent="0.25">
      <c r="A15" s="86"/>
      <c r="D15" s="36" t="s">
        <v>645</v>
      </c>
      <c r="E15" s="37">
        <v>15</v>
      </c>
      <c r="F15" s="38">
        <v>40</v>
      </c>
      <c r="G15" s="38">
        <v>8.3333333333333339</v>
      </c>
      <c r="H15" s="39">
        <f>VLOOKUP(L15,$E$1:$I$103,5,FALSE)</f>
        <v>44785</v>
      </c>
      <c r="I15" s="53">
        <f t="shared" si="2"/>
        <v>44797</v>
      </c>
      <c r="J15" s="93" t="s">
        <v>735</v>
      </c>
      <c r="K15" s="94" t="s">
        <v>736</v>
      </c>
      <c r="L15" s="38">
        <v>14</v>
      </c>
      <c r="M15" s="36" t="s">
        <v>646</v>
      </c>
      <c r="N15" s="36" t="s">
        <v>643</v>
      </c>
      <c r="O15" s="36" t="s">
        <v>716</v>
      </c>
      <c r="R15" s="41"/>
    </row>
    <row r="16" spans="1:21" s="36" customFormat="1" x14ac:dyDescent="0.25">
      <c r="A16" s="86"/>
      <c r="D16" s="36" t="s">
        <v>647</v>
      </c>
      <c r="E16" s="37">
        <v>16</v>
      </c>
      <c r="F16" s="38">
        <v>25.6</v>
      </c>
      <c r="G16" s="38">
        <v>8</v>
      </c>
      <c r="H16" s="54">
        <f>VLOOKUP(15,$E$1:$I$103,4,FALSE)</f>
        <v>44785</v>
      </c>
      <c r="I16" s="53">
        <f t="shared" si="2"/>
        <v>44797</v>
      </c>
      <c r="J16" s="93" t="s">
        <v>735</v>
      </c>
      <c r="K16" s="94" t="s">
        <v>736</v>
      </c>
      <c r="L16" s="38" t="s">
        <v>648</v>
      </c>
      <c r="N16" s="36" t="s">
        <v>643</v>
      </c>
      <c r="O16" s="36" t="s">
        <v>716</v>
      </c>
      <c r="R16" s="41"/>
    </row>
    <row r="17" spans="1:21" s="36" customFormat="1" x14ac:dyDescent="0.25">
      <c r="A17" s="86"/>
      <c r="D17" s="36" t="s">
        <v>649</v>
      </c>
      <c r="E17" s="37">
        <v>17</v>
      </c>
      <c r="F17" s="38">
        <v>10</v>
      </c>
      <c r="G17" s="38">
        <v>4.166666666666667</v>
      </c>
      <c r="H17" s="39">
        <f>VLOOKUP(L17,$E$1:$I$103,5,FALSE)</f>
        <v>44797</v>
      </c>
      <c r="I17" s="53">
        <f t="shared" si="2"/>
        <v>44803</v>
      </c>
      <c r="J17" s="93" t="s">
        <v>735</v>
      </c>
      <c r="K17" s="94" t="s">
        <v>736</v>
      </c>
      <c r="L17" s="38">
        <v>15</v>
      </c>
      <c r="M17" s="36" t="s">
        <v>650</v>
      </c>
      <c r="N17" s="36" t="s">
        <v>643</v>
      </c>
      <c r="O17" s="36" t="s">
        <v>716</v>
      </c>
      <c r="R17" s="41"/>
    </row>
    <row r="18" spans="1:21" s="47" customFormat="1" x14ac:dyDescent="0.25">
      <c r="A18" s="85"/>
      <c r="C18" s="47" t="s">
        <v>634</v>
      </c>
      <c r="E18" s="48">
        <v>18</v>
      </c>
      <c r="F18" s="47">
        <f>SUM(F19:F20)</f>
        <v>39.999499999999998</v>
      </c>
      <c r="G18" s="47">
        <f>NETWORKDAYS(H18,I18)</f>
        <v>15</v>
      </c>
      <c r="H18" s="49">
        <f>MIN(H19:H21)</f>
        <v>44801</v>
      </c>
      <c r="I18" s="49">
        <f>MAX(I19:I21)</f>
        <v>44820</v>
      </c>
      <c r="J18" s="93" t="s">
        <v>735</v>
      </c>
      <c r="K18" s="94" t="s">
        <v>736</v>
      </c>
      <c r="O18" s="47" t="s">
        <v>716</v>
      </c>
      <c r="R18" s="55"/>
    </row>
    <row r="19" spans="1:21" s="36" customFormat="1" x14ac:dyDescent="0.25">
      <c r="A19" s="86"/>
      <c r="D19" s="36" t="s">
        <v>651</v>
      </c>
      <c r="E19" s="37">
        <v>19</v>
      </c>
      <c r="F19" s="38">
        <v>23.999500000000001</v>
      </c>
      <c r="G19" s="38">
        <v>7.5</v>
      </c>
      <c r="H19" s="56">
        <f>VLOOKUP(17,$E$1:$I$103,5,FALSE)-2</f>
        <v>44801</v>
      </c>
      <c r="I19" s="53">
        <f t="shared" si="2"/>
        <v>44811</v>
      </c>
      <c r="J19" s="93" t="s">
        <v>735</v>
      </c>
      <c r="K19" s="94" t="s">
        <v>736</v>
      </c>
      <c r="L19" s="38" t="s">
        <v>652</v>
      </c>
      <c r="M19" s="36" t="s">
        <v>653</v>
      </c>
      <c r="N19" s="36" t="s">
        <v>643</v>
      </c>
      <c r="O19" s="36" t="s">
        <v>716</v>
      </c>
      <c r="R19" s="41"/>
    </row>
    <row r="20" spans="1:21" s="36" customFormat="1" x14ac:dyDescent="0.25">
      <c r="A20" s="86"/>
      <c r="D20" s="36" t="s">
        <v>654</v>
      </c>
      <c r="E20" s="37">
        <v>20</v>
      </c>
      <c r="F20" s="38">
        <v>16</v>
      </c>
      <c r="G20" s="38">
        <v>6.666666666666667</v>
      </c>
      <c r="H20" s="54">
        <f>VLOOKUP(19,$E$1:$I$103,4,FALSE)</f>
        <v>44801</v>
      </c>
      <c r="I20" s="53">
        <f t="shared" si="2"/>
        <v>44810</v>
      </c>
      <c r="J20" s="93" t="s">
        <v>735</v>
      </c>
      <c r="K20" s="94" t="s">
        <v>736</v>
      </c>
      <c r="L20" s="38" t="s">
        <v>655</v>
      </c>
      <c r="N20" s="36" t="s">
        <v>643</v>
      </c>
      <c r="O20" s="36" t="s">
        <v>716</v>
      </c>
      <c r="R20" s="41"/>
    </row>
    <row r="21" spans="1:21" s="36" customFormat="1" x14ac:dyDescent="0.25">
      <c r="A21" s="86"/>
      <c r="D21" s="36" t="s">
        <v>656</v>
      </c>
      <c r="E21" s="37">
        <v>21</v>
      </c>
      <c r="F21" s="38">
        <v>40.00033333333333</v>
      </c>
      <c r="G21" s="38">
        <v>7.1437499999999998</v>
      </c>
      <c r="H21" s="57">
        <f>MAX(VLOOKUP(19,$E$1:$I$103,5,FALSE),VLOOKUP(17,$E$1:$I$103,5,FALSE))</f>
        <v>44811</v>
      </c>
      <c r="I21" s="53">
        <f t="shared" si="2"/>
        <v>44820</v>
      </c>
      <c r="J21" s="93" t="s">
        <v>735</v>
      </c>
      <c r="K21" s="94" t="s">
        <v>736</v>
      </c>
      <c r="L21" s="58" t="s">
        <v>657</v>
      </c>
      <c r="M21" s="36" t="s">
        <v>658</v>
      </c>
      <c r="N21" s="36" t="s">
        <v>643</v>
      </c>
      <c r="O21" s="36" t="s">
        <v>716</v>
      </c>
      <c r="R21" s="41"/>
    </row>
    <row r="22" spans="1:21" s="47" customFormat="1" x14ac:dyDescent="0.25">
      <c r="A22" s="85"/>
      <c r="C22" s="47" t="s">
        <v>635</v>
      </c>
      <c r="E22" s="48">
        <v>22</v>
      </c>
      <c r="F22" s="47">
        <f>SUM(F23:F24)</f>
        <v>48</v>
      </c>
      <c r="G22" s="47">
        <f>NETWORKDAYS(H22,I22)</f>
        <v>21</v>
      </c>
      <c r="H22" s="59">
        <f>MIN(H23:H24)</f>
        <v>44820</v>
      </c>
      <c r="I22" s="59">
        <f>MAX(I23:I24)</f>
        <v>44848</v>
      </c>
      <c r="J22" s="93" t="s">
        <v>735</v>
      </c>
      <c r="K22" s="94" t="s">
        <v>736</v>
      </c>
      <c r="M22" s="47">
        <v>6</v>
      </c>
      <c r="O22" s="47" t="s">
        <v>716</v>
      </c>
      <c r="R22" s="55"/>
    </row>
    <row r="23" spans="1:21" s="36" customFormat="1" x14ac:dyDescent="0.25">
      <c r="A23" s="86"/>
      <c r="D23" s="36" t="s">
        <v>659</v>
      </c>
      <c r="E23" s="37">
        <v>23</v>
      </c>
      <c r="F23" s="38">
        <v>24</v>
      </c>
      <c r="G23" s="38">
        <v>10</v>
      </c>
      <c r="H23" s="39">
        <f>VLOOKUP(L23,$E$1:$I$103,5,FALSE)</f>
        <v>44820</v>
      </c>
      <c r="I23" s="53">
        <f t="shared" ref="I23:I24" si="3">WORKDAY(H23,ROUND(G23,0))</f>
        <v>44834</v>
      </c>
      <c r="J23" s="93" t="s">
        <v>735</v>
      </c>
      <c r="K23" s="94" t="s">
        <v>736</v>
      </c>
      <c r="L23" s="38">
        <v>21</v>
      </c>
      <c r="M23" s="36">
        <v>24</v>
      </c>
      <c r="N23" s="36" t="s">
        <v>643</v>
      </c>
      <c r="O23" s="36" t="s">
        <v>716</v>
      </c>
      <c r="R23" s="41"/>
    </row>
    <row r="24" spans="1:21" s="36" customFormat="1" x14ac:dyDescent="0.25">
      <c r="A24" s="86"/>
      <c r="D24" s="36" t="s">
        <v>660</v>
      </c>
      <c r="E24" s="37">
        <v>24</v>
      </c>
      <c r="F24" s="38">
        <v>24</v>
      </c>
      <c r="G24" s="38">
        <v>10</v>
      </c>
      <c r="H24" s="39">
        <f>VLOOKUP(L24,$E$1:$I$103,5,FALSE)</f>
        <v>44834</v>
      </c>
      <c r="I24" s="53">
        <f t="shared" si="3"/>
        <v>44848</v>
      </c>
      <c r="J24" s="93" t="s">
        <v>735</v>
      </c>
      <c r="K24" s="94" t="s">
        <v>736</v>
      </c>
      <c r="L24" s="38">
        <v>23</v>
      </c>
      <c r="M24" s="36">
        <v>26</v>
      </c>
      <c r="N24" s="36" t="s">
        <v>643</v>
      </c>
      <c r="O24" s="36" t="s">
        <v>716</v>
      </c>
      <c r="R24" s="41"/>
    </row>
    <row r="25" spans="1:21" s="47" customFormat="1" x14ac:dyDescent="0.25">
      <c r="A25" s="85"/>
      <c r="C25" s="47" t="s">
        <v>661</v>
      </c>
      <c r="E25" s="48">
        <v>25</v>
      </c>
      <c r="F25" s="47">
        <f>SUM(F26:F30)</f>
        <v>244</v>
      </c>
      <c r="G25" s="47">
        <f>NETWORKDAYS(H25,I25)</f>
        <v>67</v>
      </c>
      <c r="H25" s="59">
        <f>MIN(H26:H30)</f>
        <v>44788</v>
      </c>
      <c r="I25" s="59">
        <f>MAX(I26:I31)</f>
        <v>44880</v>
      </c>
      <c r="J25" s="93" t="s">
        <v>735</v>
      </c>
      <c r="K25" s="94" t="s">
        <v>736</v>
      </c>
      <c r="M25" s="47">
        <v>7</v>
      </c>
      <c r="O25" s="47" t="s">
        <v>729</v>
      </c>
      <c r="R25" s="51">
        <v>0.2</v>
      </c>
      <c r="S25" s="47">
        <f>R25*EST</f>
        <v>2157.2000000000003</v>
      </c>
      <c r="T25" s="52">
        <f>(S25-F25)/EST</f>
        <v>0.17737808269979605</v>
      </c>
    </row>
    <row r="26" spans="1:21" s="36" customFormat="1" x14ac:dyDescent="0.25">
      <c r="A26" s="86"/>
      <c r="D26" s="36" t="s">
        <v>662</v>
      </c>
      <c r="E26" s="37">
        <v>26</v>
      </c>
      <c r="F26" s="38">
        <v>16</v>
      </c>
      <c r="G26" s="38">
        <v>2</v>
      </c>
      <c r="H26" s="39">
        <f>VLOOKUP(L26,$E$1:$I$103,5,FALSE)</f>
        <v>44848</v>
      </c>
      <c r="I26" s="53">
        <f>WORKDAY(H26,ROUND(G26,0))</f>
        <v>44852</v>
      </c>
      <c r="J26" s="93" t="s">
        <v>735</v>
      </c>
      <c r="K26" s="94" t="s">
        <v>736</v>
      </c>
      <c r="L26" s="38">
        <v>24</v>
      </c>
      <c r="M26" s="36">
        <v>27</v>
      </c>
      <c r="N26" s="36" t="s">
        <v>643</v>
      </c>
      <c r="O26" s="36" t="s">
        <v>716</v>
      </c>
      <c r="R26" s="41"/>
    </row>
    <row r="27" spans="1:21" s="36" customFormat="1" x14ac:dyDescent="0.25">
      <c r="A27" s="86"/>
      <c r="D27" s="36" t="s">
        <v>663</v>
      </c>
      <c r="E27" s="37">
        <v>27</v>
      </c>
      <c r="F27" s="38">
        <v>80</v>
      </c>
      <c r="G27" s="38">
        <v>10</v>
      </c>
      <c r="H27" s="39">
        <f>VLOOKUP(L27,$E$1:$I$103,5,FALSE)</f>
        <v>44852</v>
      </c>
      <c r="I27" s="53">
        <f t="shared" ref="I27:I31" si="4">WORKDAY(H27,ROUND(G27,0))</f>
        <v>44866</v>
      </c>
      <c r="J27" s="93" t="s">
        <v>735</v>
      </c>
      <c r="K27" s="94" t="s">
        <v>736</v>
      </c>
      <c r="L27" s="38">
        <v>26</v>
      </c>
      <c r="M27" s="36" t="s">
        <v>664</v>
      </c>
      <c r="N27" s="36" t="s">
        <v>643</v>
      </c>
      <c r="O27" s="36" t="s">
        <v>730</v>
      </c>
      <c r="R27" s="41"/>
    </row>
    <row r="28" spans="1:21" s="36" customFormat="1" x14ac:dyDescent="0.25">
      <c r="A28" s="86"/>
      <c r="D28" s="36" t="s">
        <v>665</v>
      </c>
      <c r="E28" s="37">
        <v>28</v>
      </c>
      <c r="F28" s="38">
        <v>80</v>
      </c>
      <c r="G28" s="38">
        <v>10</v>
      </c>
      <c r="H28" s="39">
        <f>VLOOKUP(L28,$E$1:$I$103,5,FALSE)</f>
        <v>44866</v>
      </c>
      <c r="I28" s="53">
        <f t="shared" si="4"/>
        <v>44880</v>
      </c>
      <c r="J28" s="93" t="s">
        <v>735</v>
      </c>
      <c r="K28" s="94" t="s">
        <v>736</v>
      </c>
      <c r="L28" s="38">
        <v>27</v>
      </c>
      <c r="N28" s="36" t="s">
        <v>666</v>
      </c>
      <c r="O28" s="36" t="s">
        <v>731</v>
      </c>
      <c r="R28" s="41"/>
    </row>
    <row r="29" spans="1:21" s="36" customFormat="1" x14ac:dyDescent="0.25">
      <c r="A29" s="86"/>
      <c r="D29" s="36" t="s">
        <v>667</v>
      </c>
      <c r="E29" s="37">
        <v>29</v>
      </c>
      <c r="F29" s="38">
        <v>28</v>
      </c>
      <c r="G29" s="38">
        <v>5</v>
      </c>
      <c r="H29" s="39">
        <f>VLOOKUP(15,$E$1:$I$103,4,FALSE)+3</f>
        <v>44788</v>
      </c>
      <c r="I29" s="53">
        <f t="shared" si="4"/>
        <v>44795</v>
      </c>
      <c r="J29" s="93" t="s">
        <v>735</v>
      </c>
      <c r="K29" s="94" t="s">
        <v>736</v>
      </c>
      <c r="L29" s="38" t="s">
        <v>668</v>
      </c>
      <c r="M29" s="36" t="s">
        <v>669</v>
      </c>
      <c r="N29" s="36" t="s">
        <v>670</v>
      </c>
      <c r="O29" s="36" t="s">
        <v>724</v>
      </c>
      <c r="R29" s="41"/>
    </row>
    <row r="30" spans="1:21" s="36" customFormat="1" x14ac:dyDescent="0.25">
      <c r="A30" s="86"/>
      <c r="D30" s="36" t="s">
        <v>671</v>
      </c>
      <c r="E30" s="37">
        <v>30</v>
      </c>
      <c r="F30" s="38">
        <v>40</v>
      </c>
      <c r="G30" s="38">
        <v>5</v>
      </c>
      <c r="H30" s="39">
        <f>VLOOKUP(L30,$E$1:$I$103,5,FALSE)</f>
        <v>44866</v>
      </c>
      <c r="I30" s="53">
        <f t="shared" si="4"/>
        <v>44873</v>
      </c>
      <c r="J30" s="93" t="s">
        <v>735</v>
      </c>
      <c r="K30" s="94" t="s">
        <v>736</v>
      </c>
      <c r="L30" s="38">
        <v>27</v>
      </c>
      <c r="M30" s="36">
        <v>31</v>
      </c>
      <c r="N30" s="36" t="s">
        <v>643</v>
      </c>
      <c r="O30" s="36" t="s">
        <v>716</v>
      </c>
      <c r="R30" s="41"/>
    </row>
    <row r="31" spans="1:21" s="60" customFormat="1" x14ac:dyDescent="0.25">
      <c r="A31" s="85"/>
      <c r="C31" s="60" t="s">
        <v>672</v>
      </c>
      <c r="E31" s="61">
        <v>31</v>
      </c>
      <c r="F31" s="62">
        <v>0</v>
      </c>
      <c r="G31" s="62">
        <v>0</v>
      </c>
      <c r="H31" s="63">
        <f>VLOOKUP(L31,$E$1:$I$103,5,FALSE)</f>
        <v>44873</v>
      </c>
      <c r="I31" s="64">
        <f t="shared" si="4"/>
        <v>44873</v>
      </c>
      <c r="J31" s="93" t="s">
        <v>735</v>
      </c>
      <c r="K31" s="94" t="s">
        <v>736</v>
      </c>
      <c r="L31" s="62">
        <v>30</v>
      </c>
      <c r="M31" s="60">
        <v>33</v>
      </c>
      <c r="O31" s="60" t="s">
        <v>716</v>
      </c>
    </row>
    <row r="32" spans="1:21" s="47" customFormat="1" x14ac:dyDescent="0.25">
      <c r="A32" s="85"/>
      <c r="C32" s="47" t="s">
        <v>673</v>
      </c>
      <c r="E32" s="48">
        <v>32</v>
      </c>
      <c r="F32" s="47">
        <f>SUM(F33:F34)</f>
        <v>3721.1699999999996</v>
      </c>
      <c r="G32" s="47">
        <f>NETWORKDAYS(H32,I32)</f>
        <v>233</v>
      </c>
      <c r="H32" s="59">
        <f>MIN(H33:H37)</f>
        <v>44873</v>
      </c>
      <c r="I32" s="59">
        <f>MAX(I33:I34)</f>
        <v>45197</v>
      </c>
      <c r="J32" s="93" t="s">
        <v>735</v>
      </c>
      <c r="K32" s="94" t="s">
        <v>736</v>
      </c>
      <c r="M32" s="47">
        <v>8</v>
      </c>
      <c r="O32" s="47" t="s">
        <v>716</v>
      </c>
      <c r="R32" s="55"/>
      <c r="U32" s="47" t="s">
        <v>732</v>
      </c>
    </row>
    <row r="33" spans="1:21" s="36" customFormat="1" x14ac:dyDescent="0.25">
      <c r="A33" s="86"/>
      <c r="D33" s="36" t="s">
        <v>674</v>
      </c>
      <c r="E33" s="37">
        <v>33</v>
      </c>
      <c r="F33" s="65">
        <f>S33</f>
        <v>3235.7999999999997</v>
      </c>
      <c r="G33" s="38">
        <f>F33/U33</f>
        <v>202.23749999999998</v>
      </c>
      <c r="H33" s="39">
        <f>VLOOKUP(L33,$E$1:$I$103,5,FALSE)</f>
        <v>44873</v>
      </c>
      <c r="I33" s="53">
        <f>WORKDAY(H33,ROUND(G33,0))</f>
        <v>45155</v>
      </c>
      <c r="J33" s="93" t="s">
        <v>735</v>
      </c>
      <c r="K33" s="94" t="s">
        <v>736</v>
      </c>
      <c r="L33" s="38">
        <v>31</v>
      </c>
      <c r="M33" s="36" t="s">
        <v>675</v>
      </c>
      <c r="N33" s="36" t="s">
        <v>676</v>
      </c>
      <c r="O33" s="36" t="s">
        <v>714</v>
      </c>
      <c r="R33" s="66">
        <v>0.3</v>
      </c>
      <c r="S33" s="60">
        <f>R33*EST</f>
        <v>3235.7999999999997</v>
      </c>
      <c r="U33" s="36">
        <v>16</v>
      </c>
    </row>
    <row r="34" spans="1:21" s="36" customFormat="1" x14ac:dyDescent="0.25">
      <c r="A34" s="86"/>
      <c r="D34" s="36" t="s">
        <v>677</v>
      </c>
      <c r="E34" s="37">
        <v>34</v>
      </c>
      <c r="F34" s="65">
        <f>S34</f>
        <v>485.37</v>
      </c>
      <c r="G34" s="38">
        <f>F34/U34</f>
        <v>30.335625</v>
      </c>
      <c r="H34" s="39">
        <f>VLOOKUP(L34,$E$1:$I$103,5,FALSE)</f>
        <v>45155</v>
      </c>
      <c r="I34" s="53">
        <f>WORKDAY(H34,ROUND(G34,0))</f>
        <v>45197</v>
      </c>
      <c r="J34" s="93" t="s">
        <v>735</v>
      </c>
      <c r="K34" s="94" t="s">
        <v>736</v>
      </c>
      <c r="L34" s="38">
        <v>33</v>
      </c>
      <c r="M34" s="36" t="s">
        <v>678</v>
      </c>
      <c r="N34" s="36" t="s">
        <v>676</v>
      </c>
      <c r="O34" s="36" t="s">
        <v>715</v>
      </c>
      <c r="R34" s="67">
        <f>15%*R33</f>
        <v>4.4999999999999998E-2</v>
      </c>
      <c r="S34" s="60">
        <f>R34*EST</f>
        <v>485.37</v>
      </c>
      <c r="U34" s="36">
        <v>16</v>
      </c>
    </row>
    <row r="35" spans="1:21" s="47" customFormat="1" x14ac:dyDescent="0.25">
      <c r="A35" s="88"/>
      <c r="C35" s="47" t="s">
        <v>679</v>
      </c>
      <c r="E35" s="48">
        <v>35</v>
      </c>
      <c r="F35" s="47">
        <f>SUM(F36:F40)</f>
        <v>5137.5600000000004</v>
      </c>
      <c r="G35" s="47">
        <f>NETWORKDAYS(H35,I35)</f>
        <v>403</v>
      </c>
      <c r="H35" s="59">
        <f>MIN(H36:H40)</f>
        <v>45197</v>
      </c>
      <c r="I35" s="59">
        <f>MAX(I36:I40)</f>
        <v>45761</v>
      </c>
      <c r="J35" s="93" t="s">
        <v>735</v>
      </c>
      <c r="K35" s="94" t="s">
        <v>736</v>
      </c>
      <c r="M35" s="47">
        <v>9</v>
      </c>
      <c r="O35" s="47" t="s">
        <v>716</v>
      </c>
      <c r="R35" s="55"/>
    </row>
    <row r="36" spans="1:21" s="36" customFormat="1" x14ac:dyDescent="0.25">
      <c r="A36" s="86"/>
      <c r="D36" s="36" t="s">
        <v>680</v>
      </c>
      <c r="E36" s="37">
        <v>36</v>
      </c>
      <c r="F36" s="65">
        <f>S36</f>
        <v>4314.4000000000005</v>
      </c>
      <c r="G36" s="38">
        <f>F36/U36</f>
        <v>345.15200000000004</v>
      </c>
      <c r="H36" s="39">
        <f>VLOOKUP(L36,$E$1:$I$103,5,FALSE)</f>
        <v>45197</v>
      </c>
      <c r="I36" s="53">
        <f>WORKDAY(H36,ROUND(G36,0))</f>
        <v>45680</v>
      </c>
      <c r="J36" s="93" t="s">
        <v>735</v>
      </c>
      <c r="K36" s="94" t="s">
        <v>736</v>
      </c>
      <c r="L36" s="38">
        <v>34</v>
      </c>
      <c r="M36" s="36">
        <v>37</v>
      </c>
      <c r="N36" s="36" t="s">
        <v>676</v>
      </c>
      <c r="O36" s="36" t="s">
        <v>717</v>
      </c>
      <c r="R36" s="66">
        <v>0.4</v>
      </c>
      <c r="S36" s="60">
        <f>R36*EST</f>
        <v>4314.4000000000005</v>
      </c>
      <c r="U36" s="36">
        <f>400/32</f>
        <v>12.5</v>
      </c>
    </row>
    <row r="37" spans="1:21" s="36" customFormat="1" x14ac:dyDescent="0.25">
      <c r="A37" s="86"/>
      <c r="D37" s="36" t="s">
        <v>677</v>
      </c>
      <c r="E37" s="37">
        <v>37</v>
      </c>
      <c r="F37" s="65">
        <f>S37</f>
        <v>647.16</v>
      </c>
      <c r="G37" s="38">
        <f>F37/U37</f>
        <v>51.772799999999997</v>
      </c>
      <c r="H37" s="39">
        <f>VLOOKUP(L37,$E$1:$I$103,5,FALSE)</f>
        <v>45680</v>
      </c>
      <c r="I37" s="53">
        <f>WORKDAY(H37,ROUND(G37,0))</f>
        <v>45754</v>
      </c>
      <c r="J37" s="93" t="s">
        <v>735</v>
      </c>
      <c r="K37" s="94" t="s">
        <v>736</v>
      </c>
      <c r="L37" s="38">
        <v>36</v>
      </c>
      <c r="M37" s="36">
        <v>39</v>
      </c>
      <c r="N37" s="36" t="s">
        <v>676</v>
      </c>
      <c r="O37" s="36" t="s">
        <v>718</v>
      </c>
      <c r="R37" s="67">
        <f>15%*R36</f>
        <v>0.06</v>
      </c>
      <c r="S37" s="60">
        <f>R37*EST</f>
        <v>647.16</v>
      </c>
      <c r="U37" s="36">
        <f>400/32</f>
        <v>12.5</v>
      </c>
    </row>
    <row r="38" spans="1:21" s="36" customFormat="1" x14ac:dyDescent="0.25">
      <c r="A38" s="86"/>
      <c r="D38" s="36" t="s">
        <v>681</v>
      </c>
      <c r="E38" s="37">
        <v>38</v>
      </c>
      <c r="F38" s="38">
        <v>96</v>
      </c>
      <c r="G38" s="38">
        <v>30</v>
      </c>
      <c r="H38" s="39">
        <f>VLOOKUP(L38,$E$1:$I$103,5,FALSE)</f>
        <v>45197</v>
      </c>
      <c r="I38" s="53">
        <f t="shared" ref="I38:I40" si="5">WORKDAY(H38,ROUND(G38,0))</f>
        <v>45239</v>
      </c>
      <c r="J38" s="93" t="s">
        <v>735</v>
      </c>
      <c r="K38" s="94" t="s">
        <v>736</v>
      </c>
      <c r="L38" s="38">
        <v>34</v>
      </c>
      <c r="N38" s="36" t="s">
        <v>676</v>
      </c>
      <c r="O38" s="36" t="s">
        <v>719</v>
      </c>
      <c r="R38" s="41"/>
    </row>
    <row r="39" spans="1:21" s="36" customFormat="1" x14ac:dyDescent="0.25">
      <c r="A39" s="86"/>
      <c r="D39" s="36" t="s">
        <v>682</v>
      </c>
      <c r="E39" s="37">
        <v>39</v>
      </c>
      <c r="F39" s="38">
        <v>48</v>
      </c>
      <c r="G39" s="38">
        <v>3</v>
      </c>
      <c r="H39" s="39">
        <f>VLOOKUP(L39,$E$1:$I$103,5,FALSE)</f>
        <v>45754</v>
      </c>
      <c r="I39" s="53">
        <f t="shared" si="5"/>
        <v>45757</v>
      </c>
      <c r="J39" s="93" t="s">
        <v>735</v>
      </c>
      <c r="K39" s="94" t="s">
        <v>736</v>
      </c>
      <c r="L39" s="38">
        <v>37</v>
      </c>
      <c r="M39" s="36" t="s">
        <v>683</v>
      </c>
      <c r="N39" s="36" t="s">
        <v>676</v>
      </c>
      <c r="O39" s="36" t="s">
        <v>716</v>
      </c>
      <c r="R39" s="41"/>
    </row>
    <row r="40" spans="1:21" s="36" customFormat="1" x14ac:dyDescent="0.25">
      <c r="A40" s="86"/>
      <c r="D40" s="36" t="s">
        <v>684</v>
      </c>
      <c r="E40" s="37">
        <v>40</v>
      </c>
      <c r="F40" s="38">
        <v>32</v>
      </c>
      <c r="G40" s="38">
        <v>2</v>
      </c>
      <c r="H40" s="39">
        <f>VLOOKUP(L40,$E$1:$I$103,5,FALSE)</f>
        <v>45757</v>
      </c>
      <c r="I40" s="53">
        <f t="shared" si="5"/>
        <v>45761</v>
      </c>
      <c r="J40" s="93" t="s">
        <v>735</v>
      </c>
      <c r="K40" s="94" t="s">
        <v>736</v>
      </c>
      <c r="L40" s="38">
        <v>39</v>
      </c>
      <c r="M40" s="36">
        <v>42</v>
      </c>
      <c r="N40" s="36" t="s">
        <v>676</v>
      </c>
      <c r="O40" s="36" t="s">
        <v>716</v>
      </c>
      <c r="R40" s="41"/>
    </row>
    <row r="41" spans="1:21" s="47" customFormat="1" x14ac:dyDescent="0.25">
      <c r="A41" s="85"/>
      <c r="C41" s="47" t="s">
        <v>685</v>
      </c>
      <c r="E41" s="48">
        <v>41</v>
      </c>
      <c r="F41" s="47">
        <f>SUM(F42:F48)</f>
        <v>1206.6000000000001</v>
      </c>
      <c r="G41" s="47">
        <f>NETWORKDAYS(H41,I41)</f>
        <v>78</v>
      </c>
      <c r="H41" s="59">
        <f>MIN(H42:H48)</f>
        <v>45761</v>
      </c>
      <c r="I41" s="59">
        <f>MAX(I42:I48)</f>
        <v>45868</v>
      </c>
      <c r="J41" s="93" t="s">
        <v>735</v>
      </c>
      <c r="K41" s="94" t="s">
        <v>736</v>
      </c>
      <c r="M41" s="47">
        <v>10</v>
      </c>
      <c r="O41" s="47" t="s">
        <v>716</v>
      </c>
      <c r="R41" s="55"/>
    </row>
    <row r="42" spans="1:21" s="36" customFormat="1" x14ac:dyDescent="0.25">
      <c r="A42" s="86"/>
      <c r="D42" s="36" t="s">
        <v>631</v>
      </c>
      <c r="E42" s="37">
        <v>42</v>
      </c>
      <c r="F42" s="65">
        <f>S42</f>
        <v>1078.6000000000001</v>
      </c>
      <c r="G42" s="38">
        <f>F42/U42</f>
        <v>67.412500000000009</v>
      </c>
      <c r="H42" s="39">
        <f t="shared" ref="H42:H48" si="6">VLOOKUP(L42,$E$1:$I$103,5,FALSE)</f>
        <v>45761</v>
      </c>
      <c r="I42" s="53">
        <f>WORKDAY(H42,ROUND(G42,0))</f>
        <v>45854</v>
      </c>
      <c r="J42" s="93" t="s">
        <v>735</v>
      </c>
      <c r="K42" s="94" t="s">
        <v>736</v>
      </c>
      <c r="L42" s="38">
        <v>40</v>
      </c>
      <c r="M42" s="36">
        <v>43</v>
      </c>
      <c r="N42" s="36" t="s">
        <v>676</v>
      </c>
      <c r="O42" s="36" t="s">
        <v>720</v>
      </c>
      <c r="R42" s="66">
        <v>0.1</v>
      </c>
      <c r="S42" s="60">
        <f>R42*EST</f>
        <v>1078.6000000000001</v>
      </c>
      <c r="U42" s="36">
        <f>100/6.25</f>
        <v>16</v>
      </c>
    </row>
    <row r="43" spans="1:21" s="36" customFormat="1" x14ac:dyDescent="0.25">
      <c r="A43" s="86"/>
      <c r="D43" s="36" t="s">
        <v>682</v>
      </c>
      <c r="E43" s="37">
        <v>43</v>
      </c>
      <c r="F43" s="38">
        <v>48</v>
      </c>
      <c r="G43" s="38">
        <v>3</v>
      </c>
      <c r="H43" s="39">
        <f t="shared" si="6"/>
        <v>45854</v>
      </c>
      <c r="I43" s="53">
        <f t="shared" ref="I43:I48" si="7">WORKDAY(H43,ROUND(G43,0))</f>
        <v>45859</v>
      </c>
      <c r="J43" s="93" t="s">
        <v>735</v>
      </c>
      <c r="K43" s="94" t="s">
        <v>736</v>
      </c>
      <c r="L43" s="38">
        <v>42</v>
      </c>
      <c r="M43" s="36">
        <v>44</v>
      </c>
      <c r="N43" s="36" t="s">
        <v>676</v>
      </c>
      <c r="O43" s="36" t="s">
        <v>716</v>
      </c>
      <c r="R43" s="68"/>
    </row>
    <row r="44" spans="1:21" s="36" customFormat="1" x14ac:dyDescent="0.25">
      <c r="A44" s="86"/>
      <c r="D44" s="36" t="s">
        <v>684</v>
      </c>
      <c r="E44" s="37">
        <v>44</v>
      </c>
      <c r="F44" s="38">
        <v>8</v>
      </c>
      <c r="G44" s="38">
        <v>1</v>
      </c>
      <c r="H44" s="39">
        <f t="shared" si="6"/>
        <v>45859</v>
      </c>
      <c r="I44" s="53">
        <f t="shared" si="7"/>
        <v>45860</v>
      </c>
      <c r="J44" s="93" t="s">
        <v>735</v>
      </c>
      <c r="K44" s="94" t="s">
        <v>736</v>
      </c>
      <c r="L44" s="38">
        <v>43</v>
      </c>
      <c r="M44" s="36">
        <v>45</v>
      </c>
      <c r="N44" s="36" t="s">
        <v>643</v>
      </c>
      <c r="O44" s="36" t="s">
        <v>716</v>
      </c>
      <c r="R44" s="41"/>
    </row>
    <row r="45" spans="1:21" s="36" customFormat="1" x14ac:dyDescent="0.25">
      <c r="A45" s="86"/>
      <c r="D45" s="36" t="s">
        <v>686</v>
      </c>
      <c r="E45" s="37">
        <v>45</v>
      </c>
      <c r="F45" s="38">
        <v>24</v>
      </c>
      <c r="G45" s="38">
        <v>3</v>
      </c>
      <c r="H45" s="39">
        <f t="shared" si="6"/>
        <v>45860</v>
      </c>
      <c r="I45" s="53">
        <f t="shared" si="7"/>
        <v>45863</v>
      </c>
      <c r="J45" s="93" t="s">
        <v>735</v>
      </c>
      <c r="K45" s="94" t="s">
        <v>736</v>
      </c>
      <c r="L45" s="38">
        <v>44</v>
      </c>
      <c r="M45" s="36">
        <v>46</v>
      </c>
      <c r="N45" s="36" t="s">
        <v>643</v>
      </c>
      <c r="O45" s="36" t="s">
        <v>716</v>
      </c>
      <c r="R45" s="41"/>
    </row>
    <row r="46" spans="1:21" s="36" customFormat="1" x14ac:dyDescent="0.25">
      <c r="A46" s="86"/>
      <c r="D46" s="36" t="s">
        <v>682</v>
      </c>
      <c r="E46" s="37">
        <v>46</v>
      </c>
      <c r="F46" s="38">
        <v>32</v>
      </c>
      <c r="G46" s="38">
        <v>2</v>
      </c>
      <c r="H46" s="39">
        <f t="shared" si="6"/>
        <v>45863</v>
      </c>
      <c r="I46" s="53">
        <f t="shared" si="7"/>
        <v>45867</v>
      </c>
      <c r="J46" s="93" t="s">
        <v>735</v>
      </c>
      <c r="K46" s="94" t="s">
        <v>736</v>
      </c>
      <c r="L46" s="38">
        <v>45</v>
      </c>
      <c r="M46" s="36">
        <v>47</v>
      </c>
      <c r="N46" s="36" t="s">
        <v>676</v>
      </c>
      <c r="O46" s="36" t="s">
        <v>716</v>
      </c>
      <c r="R46" s="41"/>
    </row>
    <row r="47" spans="1:21" s="36" customFormat="1" x14ac:dyDescent="0.25">
      <c r="A47" s="86"/>
      <c r="D47" s="36" t="s">
        <v>684</v>
      </c>
      <c r="E47" s="37">
        <v>47</v>
      </c>
      <c r="F47" s="38">
        <v>16</v>
      </c>
      <c r="G47" s="38">
        <v>1</v>
      </c>
      <c r="H47" s="39">
        <f t="shared" si="6"/>
        <v>45867</v>
      </c>
      <c r="I47" s="53">
        <f t="shared" si="7"/>
        <v>45868</v>
      </c>
      <c r="J47" s="93" t="s">
        <v>735</v>
      </c>
      <c r="K47" s="94" t="s">
        <v>736</v>
      </c>
      <c r="L47" s="38">
        <v>46</v>
      </c>
      <c r="M47" s="36">
        <v>48</v>
      </c>
      <c r="N47" s="36" t="s">
        <v>676</v>
      </c>
      <c r="O47" s="36" t="s">
        <v>716</v>
      </c>
      <c r="R47" s="41"/>
    </row>
    <row r="48" spans="1:21" x14ac:dyDescent="0.25">
      <c r="A48" s="86"/>
      <c r="D48" t="s">
        <v>687</v>
      </c>
      <c r="E48" s="15">
        <v>48</v>
      </c>
      <c r="F48" s="16">
        <v>0</v>
      </c>
      <c r="G48" s="16">
        <v>0</v>
      </c>
      <c r="H48" s="17">
        <f t="shared" si="6"/>
        <v>45868</v>
      </c>
      <c r="I48" s="18">
        <f t="shared" si="7"/>
        <v>45868</v>
      </c>
      <c r="J48" s="93" t="s">
        <v>735</v>
      </c>
      <c r="K48" s="94" t="s">
        <v>736</v>
      </c>
      <c r="L48" s="16">
        <v>47</v>
      </c>
      <c r="O48" t="s">
        <v>716</v>
      </c>
    </row>
    <row r="49" spans="1:18" s="27" customFormat="1" x14ac:dyDescent="0.25">
      <c r="A49" s="88"/>
      <c r="B49" s="27" t="s">
        <v>688</v>
      </c>
      <c r="E49" s="28">
        <v>49</v>
      </c>
      <c r="F49" s="27">
        <f>SUM(F50,F55,F60,F65)</f>
        <v>582</v>
      </c>
      <c r="G49" s="27">
        <f>NETWORKDAYS(H49,I49)</f>
        <v>120</v>
      </c>
      <c r="H49" s="29">
        <v>45617.423819444448</v>
      </c>
      <c r="I49" s="30">
        <f>MAX(I50:I69)</f>
        <v>45784</v>
      </c>
      <c r="J49" s="93" t="s">
        <v>735</v>
      </c>
      <c r="K49" s="94" t="s">
        <v>736</v>
      </c>
      <c r="O49" s="27" t="s">
        <v>716</v>
      </c>
      <c r="R49" s="31"/>
    </row>
    <row r="50" spans="1:18" s="32" customFormat="1" x14ac:dyDescent="0.25">
      <c r="A50" s="85"/>
      <c r="C50" s="32" t="s">
        <v>689</v>
      </c>
      <c r="E50" s="33">
        <v>50</v>
      </c>
      <c r="F50" s="32">
        <f>SUM(F51:F54)</f>
        <v>122</v>
      </c>
      <c r="G50" s="32">
        <f>NETWORKDAYS(H50,I50)</f>
        <v>13</v>
      </c>
      <c r="H50" s="34">
        <f>MIN(H51:H54)</f>
        <v>44793</v>
      </c>
      <c r="I50" s="34">
        <f>MAX(I51:I54)</f>
        <v>44811</v>
      </c>
      <c r="J50" s="93" t="s">
        <v>735</v>
      </c>
      <c r="K50" s="94" t="s">
        <v>736</v>
      </c>
      <c r="O50" s="32" t="s">
        <v>716</v>
      </c>
      <c r="R50" s="35"/>
    </row>
    <row r="51" spans="1:18" x14ac:dyDescent="0.25">
      <c r="A51" s="86"/>
      <c r="D51" t="s">
        <v>690</v>
      </c>
      <c r="E51" s="15">
        <v>51</v>
      </c>
      <c r="F51" s="16">
        <v>10</v>
      </c>
      <c r="G51" s="16">
        <v>4.166666666666667</v>
      </c>
      <c r="H51" s="19">
        <f>VLOOKUP(29,$E$1:$I$103,4,FALSE)+3+2</f>
        <v>44793</v>
      </c>
      <c r="I51" s="18">
        <f>WORKDAY(H51,ROUND(G51,0))</f>
        <v>44798</v>
      </c>
      <c r="J51" s="93" t="s">
        <v>735</v>
      </c>
      <c r="K51" s="94" t="s">
        <v>736</v>
      </c>
      <c r="L51" s="16" t="s">
        <v>691</v>
      </c>
      <c r="M51" t="s">
        <v>692</v>
      </c>
      <c r="N51" t="s">
        <v>670</v>
      </c>
      <c r="O51" t="s">
        <v>716</v>
      </c>
    </row>
    <row r="52" spans="1:18" x14ac:dyDescent="0.25">
      <c r="A52" s="86"/>
      <c r="D52" t="s">
        <v>693</v>
      </c>
      <c r="E52" s="15">
        <v>52</v>
      </c>
      <c r="F52" s="16">
        <v>40</v>
      </c>
      <c r="G52" s="16">
        <v>5</v>
      </c>
      <c r="H52" s="17">
        <f>VLOOKUP(L52,$E$1:$I$103,5,FALSE)</f>
        <v>44798</v>
      </c>
      <c r="I52" s="18">
        <f t="shared" ref="I52:I54" si="8">WORKDAY(H52,ROUND(G52,0))</f>
        <v>44805</v>
      </c>
      <c r="J52" s="93" t="s">
        <v>735</v>
      </c>
      <c r="K52" s="94" t="s">
        <v>736</v>
      </c>
      <c r="L52" s="16">
        <v>51</v>
      </c>
      <c r="N52" t="s">
        <v>694</v>
      </c>
      <c r="O52" t="s">
        <v>716</v>
      </c>
    </row>
    <row r="53" spans="1:18" x14ac:dyDescent="0.25">
      <c r="A53" s="86"/>
      <c r="D53" t="s">
        <v>695</v>
      </c>
      <c r="E53" s="15">
        <v>53</v>
      </c>
      <c r="F53" s="16">
        <v>16</v>
      </c>
      <c r="G53" s="16">
        <v>2</v>
      </c>
      <c r="H53" s="17">
        <f>VLOOKUP(L53,$E$1:$I$103,5,FALSE)</f>
        <v>44798</v>
      </c>
      <c r="I53" s="18">
        <f t="shared" si="8"/>
        <v>44802</v>
      </c>
      <c r="J53" s="93" t="s">
        <v>735</v>
      </c>
      <c r="K53" s="94" t="s">
        <v>736</v>
      </c>
      <c r="L53" s="16">
        <v>51</v>
      </c>
      <c r="M53" t="s">
        <v>696</v>
      </c>
      <c r="N53" t="s">
        <v>670</v>
      </c>
      <c r="O53" t="s">
        <v>716</v>
      </c>
    </row>
    <row r="54" spans="1:18" x14ac:dyDescent="0.25">
      <c r="A54" s="86"/>
      <c r="D54" t="s">
        <v>697</v>
      </c>
      <c r="E54" s="15">
        <v>54</v>
      </c>
      <c r="F54" s="16">
        <v>56</v>
      </c>
      <c r="G54" s="16">
        <v>7</v>
      </c>
      <c r="H54" s="17">
        <f>VLOOKUP(L54,$E$1:$I$103,5,FALSE)</f>
        <v>44802</v>
      </c>
      <c r="I54" s="18">
        <f t="shared" si="8"/>
        <v>44811</v>
      </c>
      <c r="J54" s="93" t="s">
        <v>735</v>
      </c>
      <c r="K54" s="94" t="s">
        <v>736</v>
      </c>
      <c r="L54" s="16">
        <v>53</v>
      </c>
      <c r="N54" t="s">
        <v>698</v>
      </c>
      <c r="O54" t="s">
        <v>716</v>
      </c>
    </row>
    <row r="55" spans="1:18" s="32" customFormat="1" x14ac:dyDescent="0.25">
      <c r="A55" s="85"/>
      <c r="C55" s="32" t="s">
        <v>699</v>
      </c>
      <c r="E55" s="33">
        <v>55</v>
      </c>
      <c r="F55" s="32">
        <f>SUM(F56:F59)</f>
        <v>220</v>
      </c>
      <c r="G55" s="32">
        <f>NETWORKDAYS(H55,I55)</f>
        <v>21</v>
      </c>
      <c r="H55" s="34">
        <f>MIN(H56:H59)</f>
        <v>45155</v>
      </c>
      <c r="I55" s="34">
        <f>MAX(I56:I59)</f>
        <v>45183</v>
      </c>
      <c r="J55" s="93" t="s">
        <v>735</v>
      </c>
      <c r="K55" s="94" t="s">
        <v>736</v>
      </c>
      <c r="O55" s="32" t="s">
        <v>716</v>
      </c>
      <c r="R55" s="35"/>
    </row>
    <row r="56" spans="1:18" x14ac:dyDescent="0.25">
      <c r="A56" s="86"/>
      <c r="D56" t="s">
        <v>700</v>
      </c>
      <c r="E56" s="15">
        <v>56</v>
      </c>
      <c r="F56" s="16">
        <v>40</v>
      </c>
      <c r="G56" s="16">
        <v>5</v>
      </c>
      <c r="H56" s="20">
        <f>MAX(VLOOKUP(33,$E$1:$I$103,5,FALSE),VLOOKUP(53,$E$1:$I$103,5,FALSE))</f>
        <v>45155</v>
      </c>
      <c r="I56" s="18">
        <f>WORKDAY(H56,ROUND(G56,0))</f>
        <v>45162</v>
      </c>
      <c r="J56" s="93" t="s">
        <v>735</v>
      </c>
      <c r="K56" s="94" t="s">
        <v>736</v>
      </c>
      <c r="L56" s="21" t="s">
        <v>701</v>
      </c>
      <c r="M56" t="s">
        <v>702</v>
      </c>
      <c r="N56" t="s">
        <v>670</v>
      </c>
      <c r="O56" t="s">
        <v>721</v>
      </c>
    </row>
    <row r="57" spans="1:18" x14ac:dyDescent="0.25">
      <c r="A57" s="86"/>
      <c r="D57" t="s">
        <v>693</v>
      </c>
      <c r="E57" s="15">
        <v>57</v>
      </c>
      <c r="F57" s="16">
        <v>60</v>
      </c>
      <c r="G57" s="16">
        <v>7.5</v>
      </c>
      <c r="H57" s="17">
        <f>VLOOKUP(L57,$E$1:$I$103,5,FALSE)</f>
        <v>45162</v>
      </c>
      <c r="I57" s="18">
        <f>WORKDAY(H57,ROUND(G57,0))</f>
        <v>45174</v>
      </c>
      <c r="J57" s="93" t="s">
        <v>735</v>
      </c>
      <c r="K57" s="94" t="s">
        <v>736</v>
      </c>
      <c r="L57" s="16">
        <v>56</v>
      </c>
      <c r="N57" t="s">
        <v>694</v>
      </c>
      <c r="O57" t="s">
        <v>722</v>
      </c>
    </row>
    <row r="58" spans="1:18" x14ac:dyDescent="0.25">
      <c r="A58" s="86"/>
      <c r="D58" t="s">
        <v>703</v>
      </c>
      <c r="E58" s="15">
        <v>58</v>
      </c>
      <c r="F58" s="16">
        <v>40</v>
      </c>
      <c r="G58" s="16">
        <v>5</v>
      </c>
      <c r="H58" s="17">
        <f>VLOOKUP(L58,$E$1:$I$103,5,FALSE)</f>
        <v>45162</v>
      </c>
      <c r="I58" s="18">
        <f>WORKDAY(H58,ROUND(G58,0))</f>
        <v>45169</v>
      </c>
      <c r="J58" s="93" t="s">
        <v>735</v>
      </c>
      <c r="K58" s="94" t="s">
        <v>736</v>
      </c>
      <c r="L58" s="16">
        <v>56</v>
      </c>
      <c r="M58">
        <v>59</v>
      </c>
      <c r="N58" t="s">
        <v>670</v>
      </c>
      <c r="O58" t="s">
        <v>721</v>
      </c>
    </row>
    <row r="59" spans="1:18" x14ac:dyDescent="0.25">
      <c r="A59" s="86"/>
      <c r="D59" t="s">
        <v>697</v>
      </c>
      <c r="E59" s="15">
        <v>59</v>
      </c>
      <c r="F59" s="16">
        <v>80</v>
      </c>
      <c r="G59" s="16">
        <v>10</v>
      </c>
      <c r="H59" s="17">
        <f>VLOOKUP(L59,$E$1:$I$103,5,FALSE)</f>
        <v>45169</v>
      </c>
      <c r="I59" s="18">
        <f>WORKDAY(H59,ROUND(G59,0))</f>
        <v>45183</v>
      </c>
      <c r="J59" s="93" t="s">
        <v>735</v>
      </c>
      <c r="K59" s="94" t="s">
        <v>736</v>
      </c>
      <c r="L59" s="16">
        <v>58</v>
      </c>
      <c r="N59" t="s">
        <v>698</v>
      </c>
      <c r="O59" t="s">
        <v>723</v>
      </c>
    </row>
    <row r="60" spans="1:18" s="32" customFormat="1" x14ac:dyDescent="0.25">
      <c r="A60" s="85"/>
      <c r="C60" s="32" t="s">
        <v>704</v>
      </c>
      <c r="E60" s="33">
        <v>60</v>
      </c>
      <c r="F60" s="32">
        <f>SUM(F61:F64)</f>
        <v>124</v>
      </c>
      <c r="G60" s="32">
        <f>NETWORKDAYS(H60,I60)</f>
        <v>12</v>
      </c>
      <c r="H60" s="34">
        <f>MIN(H61:H64)</f>
        <v>45757</v>
      </c>
      <c r="I60" s="34">
        <f>MAX(I61:I64)</f>
        <v>45772</v>
      </c>
      <c r="J60" s="93" t="s">
        <v>735</v>
      </c>
      <c r="K60" s="94" t="s">
        <v>736</v>
      </c>
      <c r="M60" s="32">
        <v>65</v>
      </c>
      <c r="O60" s="32" t="s">
        <v>716</v>
      </c>
      <c r="R60" s="35"/>
    </row>
    <row r="61" spans="1:18" x14ac:dyDescent="0.25">
      <c r="A61" s="86"/>
      <c r="D61" t="s">
        <v>705</v>
      </c>
      <c r="E61" s="15">
        <v>61</v>
      </c>
      <c r="F61" s="16">
        <v>40</v>
      </c>
      <c r="G61" s="16">
        <v>5</v>
      </c>
      <c r="H61" s="17">
        <f>VLOOKUP(L61,$E$1:$I$103,5,FALSE)</f>
        <v>45757</v>
      </c>
      <c r="I61" s="18">
        <f>WORKDAY(H61,ROUND(G61,0))</f>
        <v>45764</v>
      </c>
      <c r="J61" s="93" t="s">
        <v>735</v>
      </c>
      <c r="K61" s="94" t="s">
        <v>736</v>
      </c>
      <c r="L61" s="16">
        <v>39</v>
      </c>
      <c r="M61" t="s">
        <v>706</v>
      </c>
      <c r="N61" t="s">
        <v>670</v>
      </c>
      <c r="O61" t="s">
        <v>724</v>
      </c>
    </row>
    <row r="62" spans="1:18" x14ac:dyDescent="0.25">
      <c r="A62" s="86"/>
      <c r="D62" t="s">
        <v>693</v>
      </c>
      <c r="E62" s="15">
        <v>62</v>
      </c>
      <c r="F62" s="16">
        <v>40</v>
      </c>
      <c r="G62" s="16">
        <v>5</v>
      </c>
      <c r="H62" s="17">
        <f>VLOOKUP(L62,$E$1:$I$103,5,FALSE)</f>
        <v>45764</v>
      </c>
      <c r="I62" s="18">
        <f>WORKDAY(H62,ROUND(G62,0))</f>
        <v>45771</v>
      </c>
      <c r="J62" s="93" t="s">
        <v>735</v>
      </c>
      <c r="K62" s="94" t="s">
        <v>736</v>
      </c>
      <c r="L62" s="16">
        <v>61</v>
      </c>
      <c r="N62" t="s">
        <v>694</v>
      </c>
      <c r="O62" t="s">
        <v>716</v>
      </c>
    </row>
    <row r="63" spans="1:18" x14ac:dyDescent="0.25">
      <c r="A63" s="86"/>
      <c r="D63" t="s">
        <v>707</v>
      </c>
      <c r="E63" s="15">
        <v>63</v>
      </c>
      <c r="F63" s="16">
        <v>24</v>
      </c>
      <c r="G63" s="16">
        <v>3</v>
      </c>
      <c r="H63" s="17">
        <f>VLOOKUP(L63,$E$1:$I$103,5,FALSE)</f>
        <v>45764</v>
      </c>
      <c r="I63" s="18">
        <f>WORKDAY(H63,ROUND(G63,0))</f>
        <v>45769</v>
      </c>
      <c r="J63" s="93" t="s">
        <v>735</v>
      </c>
      <c r="K63" s="94" t="s">
        <v>736</v>
      </c>
      <c r="L63" s="16">
        <v>61</v>
      </c>
      <c r="M63">
        <v>64</v>
      </c>
      <c r="N63" t="s">
        <v>670</v>
      </c>
      <c r="O63" t="s">
        <v>725</v>
      </c>
    </row>
    <row r="64" spans="1:18" x14ac:dyDescent="0.25">
      <c r="A64" s="86"/>
      <c r="D64" t="s">
        <v>708</v>
      </c>
      <c r="E64" s="15">
        <v>64</v>
      </c>
      <c r="F64" s="16">
        <v>20</v>
      </c>
      <c r="G64" s="16">
        <v>2.5</v>
      </c>
      <c r="H64" s="17">
        <f>VLOOKUP(L64,$E$1:$I$103,5,FALSE)</f>
        <v>45769</v>
      </c>
      <c r="I64" s="18">
        <f>WORKDAY(H64,ROUND(G64,0))</f>
        <v>45772</v>
      </c>
      <c r="J64" s="93" t="s">
        <v>735</v>
      </c>
      <c r="K64" s="94" t="s">
        <v>736</v>
      </c>
      <c r="L64" s="16">
        <v>63</v>
      </c>
      <c r="N64" t="s">
        <v>698</v>
      </c>
      <c r="O64" t="s">
        <v>716</v>
      </c>
    </row>
    <row r="65" spans="1:18" s="32" customFormat="1" x14ac:dyDescent="0.25">
      <c r="A65" s="85"/>
      <c r="C65" s="32" t="s">
        <v>709</v>
      </c>
      <c r="E65" s="33">
        <v>65</v>
      </c>
      <c r="F65" s="32">
        <f>SUM(F66:F69)</f>
        <v>116</v>
      </c>
      <c r="G65" s="32">
        <f>NETWORKDAYS(H65,I65)</f>
        <v>9</v>
      </c>
      <c r="H65" s="34">
        <f>MIN(H66:H69)</f>
        <v>45772</v>
      </c>
      <c r="I65" s="34">
        <f>MAX(I66:I69)</f>
        <v>45784</v>
      </c>
      <c r="J65" s="93" t="s">
        <v>735</v>
      </c>
      <c r="K65" s="94" t="s">
        <v>736</v>
      </c>
      <c r="L65" s="32">
        <v>60</v>
      </c>
      <c r="O65" s="32" t="s">
        <v>716</v>
      </c>
      <c r="R65" s="35"/>
    </row>
    <row r="66" spans="1:18" x14ac:dyDescent="0.25">
      <c r="A66" s="86"/>
      <c r="D66" t="s">
        <v>710</v>
      </c>
      <c r="E66" s="15">
        <v>66</v>
      </c>
      <c r="F66" s="16">
        <v>12</v>
      </c>
      <c r="G66" s="16">
        <v>3</v>
      </c>
      <c r="H66" s="17">
        <f>VLOOKUP(L66,$E$1:$I$103,5,FALSE)</f>
        <v>45772</v>
      </c>
      <c r="I66" s="18">
        <f>WORKDAY(H66,ROUND(G66,0))</f>
        <v>45777</v>
      </c>
      <c r="J66" s="93" t="s">
        <v>735</v>
      </c>
      <c r="K66" s="94" t="s">
        <v>736</v>
      </c>
      <c r="L66" s="16">
        <v>60</v>
      </c>
      <c r="N66" t="s">
        <v>670</v>
      </c>
      <c r="O66" t="s">
        <v>716</v>
      </c>
    </row>
    <row r="67" spans="1:18" x14ac:dyDescent="0.25">
      <c r="A67" s="86"/>
      <c r="D67" t="s">
        <v>711</v>
      </c>
      <c r="E67" s="15">
        <v>67</v>
      </c>
      <c r="F67" s="16">
        <v>40</v>
      </c>
      <c r="G67" s="16">
        <v>5</v>
      </c>
      <c r="H67" s="17">
        <f>VLOOKUP(L67,$E$1:$I$103,5,FALSE)</f>
        <v>45772</v>
      </c>
      <c r="I67" s="18">
        <f>WORKDAY(H67,ROUND(G67,0))</f>
        <v>45779</v>
      </c>
      <c r="J67" s="93" t="s">
        <v>735</v>
      </c>
      <c r="K67" s="94" t="s">
        <v>736</v>
      </c>
      <c r="L67" s="16">
        <v>60</v>
      </c>
      <c r="N67" t="s">
        <v>694</v>
      </c>
      <c r="O67" t="s">
        <v>716</v>
      </c>
    </row>
    <row r="68" spans="1:18" x14ac:dyDescent="0.25">
      <c r="A68" s="86"/>
      <c r="D68" t="s">
        <v>712</v>
      </c>
      <c r="E68" s="15">
        <v>68</v>
      </c>
      <c r="F68" s="16">
        <v>4</v>
      </c>
      <c r="G68" s="16">
        <v>1</v>
      </c>
      <c r="H68" s="17">
        <f>VLOOKUP(L68,$E$1:$I$103,5,FALSE)</f>
        <v>45772</v>
      </c>
      <c r="I68" s="18">
        <f>WORKDAY(H68,ROUND(G68,0))</f>
        <v>45775</v>
      </c>
      <c r="J68" s="93" t="s">
        <v>735</v>
      </c>
      <c r="K68" s="94" t="s">
        <v>736</v>
      </c>
      <c r="L68" s="16">
        <v>60</v>
      </c>
      <c r="N68" t="s">
        <v>670</v>
      </c>
      <c r="O68" t="s">
        <v>716</v>
      </c>
    </row>
    <row r="69" spans="1:18" x14ac:dyDescent="0.25">
      <c r="A69" s="86"/>
      <c r="D69" t="s">
        <v>713</v>
      </c>
      <c r="E69" s="15">
        <v>69</v>
      </c>
      <c r="F69" s="16">
        <v>60</v>
      </c>
      <c r="G69" s="16">
        <v>7.5</v>
      </c>
      <c r="H69" s="17">
        <f>VLOOKUP(L69,$E$1:$I$103,5,FALSE)</f>
        <v>45772</v>
      </c>
      <c r="I69" s="18">
        <f>WORKDAY(H69,ROUND(G69,0))</f>
        <v>45784</v>
      </c>
      <c r="J69" s="93" t="s">
        <v>735</v>
      </c>
      <c r="K69" s="94" t="s">
        <v>736</v>
      </c>
      <c r="L69" s="16">
        <v>60</v>
      </c>
      <c r="N69" t="s">
        <v>698</v>
      </c>
      <c r="O69" t="s">
        <v>716</v>
      </c>
    </row>
    <row r="70" spans="1:18" x14ac:dyDescent="0.25">
      <c r="A70" s="84"/>
    </row>
  </sheetData>
  <conditionalFormatting sqref="T12 T25">
    <cfRule type="cellIs" dxfId="4" priority="3" operator="greaterThan">
      <formula>0.14</formula>
    </cfRule>
    <cfRule type="cellIs" dxfId="3" priority="4" operator="lessThan">
      <formula>-14%</formula>
    </cfRule>
    <cfRule type="cellIs" dxfId="2" priority="5" operator="between">
      <formula>-0.15</formula>
      <formula>0.15</formula>
    </cfRule>
  </conditionalFormatting>
  <conditionalFormatting sqref="L2:L1048576">
    <cfRule type="containsText" dxfId="1" priority="1" operator="containsText" text="ОН">
      <formula>NOT(ISERROR(SEARCH("ОН",L2)))</formula>
    </cfRule>
    <cfRule type="containsText" dxfId="0" priority="2" operator="containsText" text="НН">
      <formula>NOT(ISERROR(SEARCH("НН",L2)))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D07FB6-6EE3-4530-A2B1-0BA2476CEBF4}">
  <sheetPr codeName="Лист1"/>
  <dimension ref="B1"/>
  <sheetViews>
    <sheetView workbookViewId="0">
      <selection activeCell="E10" sqref="E10"/>
    </sheetView>
  </sheetViews>
  <sheetFormatPr defaultRowHeight="15" x14ac:dyDescent="0.25"/>
  <sheetData>
    <row r="1" spans="2:2" x14ac:dyDescent="0.25">
      <c r="B1" s="4" t="s">
        <v>313</v>
      </c>
    </row>
  </sheetData>
  <hyperlinks>
    <hyperlink ref="B1" r:id="rId1" display="https://www.cyberforum.ru/vba/thread1585773.html?ysclid=lb3i32yc83800770223" xr:uid="{DFE8B5DD-8CBB-4F1E-B01A-2C4509315CF0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ImportAllProjectTasks">
                <anchor moveWithCells="1" sizeWithCells="1">
                  <from>
                    <xdr:col>2</xdr:col>
                    <xdr:colOff>361950</xdr:colOff>
                    <xdr:row>2</xdr:row>
                    <xdr:rowOff>114300</xdr:rowOff>
                  </from>
                  <to>
                    <xdr:col>5</xdr:col>
                    <xdr:colOff>333375</xdr:colOff>
                    <xdr:row>7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1</vt:i4>
      </vt:variant>
    </vt:vector>
  </HeadingPairs>
  <TitlesOfParts>
    <vt:vector size="5" baseType="lpstr">
      <vt:lpstr>_ШАБЛОН</vt:lpstr>
      <vt:lpstr>КПГП ЭД 2_0 МПМ АИС ГИН (ПКНД)</vt:lpstr>
      <vt:lpstr>ПроектСИЭР v_0_5 АВТОМАТ</vt:lpstr>
      <vt:lpstr>Автор</vt:lpstr>
      <vt:lpstr>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work20</dc:creator>
  <cp:lastModifiedBy>Перерва Андрей Дмитриевич</cp:lastModifiedBy>
  <dcterms:created xsi:type="dcterms:W3CDTF">2022-11-30T10:26:33Z</dcterms:created>
  <dcterms:modified xsi:type="dcterms:W3CDTF">2024-09-29T12:55:36Z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624e30a4-a6f1-4198-9cc6-df6528594c73</vt:lpwstr>
  </property>
</Properties>
</file>